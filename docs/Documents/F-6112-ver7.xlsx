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urce Code\1. Source Code SVN\15. Aeration Sterilize\Documents\"/>
    </mc:Choice>
  </mc:AlternateContent>
  <bookViews>
    <workbookView xWindow="0" yWindow="0" windowWidth="28800" windowHeight="13680"/>
  </bookViews>
  <sheets>
    <sheet name="data" sheetId="2" r:id="rId1"/>
  </sheets>
  <externalReferences>
    <externalReference r:id="rId2"/>
    <externalReference r:id="rId3"/>
    <externalReference r:id="rId4"/>
  </externalReferences>
  <definedNames>
    <definedName name="A" localSheetId="0">'[1]PLAN  PTCA'!#REF!</definedName>
    <definedName name="A">'[2]PLAN  PTCA'!#REF!</definedName>
    <definedName name="á" localSheetId="0">'[1]PLAN  PTCA'!#REF!</definedName>
    <definedName name="á">'[2]PLAN  PTCA'!#REF!</definedName>
    <definedName name="â" localSheetId="0">'[1]PLAN  PTCA'!#REF!</definedName>
    <definedName name="â">'[2]PLAN  PTCA'!#REF!</definedName>
    <definedName name="àdvbn" localSheetId="0">'[1]PLAN  PTCA'!#REF!</definedName>
    <definedName name="àdvbn">'[2]PLAN  PTCA'!#REF!</definedName>
    <definedName name="d" localSheetId="0">'[1]PLAN  PTCA'!#REF!</definedName>
    <definedName name="d">'[2]PLAN  PTCA'!#REF!</definedName>
    <definedName name="dfdgfd123" localSheetId="0">'[1]PLAN  PTCA'!#REF!</definedName>
    <definedName name="dfdgfd123">'[2]PLAN  PTCA'!#REF!</definedName>
    <definedName name="dsdsa" localSheetId="0">'[1]PLAN  PTCA'!#REF!</definedName>
    <definedName name="dsdsa">'[2]PLAN  PTCA'!#REF!</definedName>
    <definedName name="dsdsada" localSheetId="0">'[1]PLAN  PTCA'!#REF!</definedName>
    <definedName name="dsdsada">'[2]PLAN  PTCA'!#REF!</definedName>
    <definedName name="È" localSheetId="0">'[1]PLAN  PTCA'!#REF!</definedName>
    <definedName name="È">'[2]PLAN  PTCA'!#REF!</definedName>
    <definedName name="ề" localSheetId="0">'[1]PLAN  PTCA'!#REF!</definedName>
    <definedName name="ề">'[2]PLAN  PTCA'!#REF!</definedName>
    <definedName name="eratet" localSheetId="0">'[3]PLAN  PTCA'!#REF!</definedName>
    <definedName name="eratet">'[2]PLAN  PTCA'!#REF!</definedName>
    <definedName name="f" localSheetId="0">'[1]PLAN  PTCA'!#REF!</definedName>
    <definedName name="f">'[2]PLAN  PTCA'!#REF!</definedName>
    <definedName name="FEEF" localSheetId="0">'[1]PLAN  PTCA'!#REF!</definedName>
    <definedName name="FEEF">'[2]PLAN  PTCA'!#REF!</definedName>
    <definedName name="g" localSheetId="0">'[1]PLAN  PTCA'!#REF!</definedName>
    <definedName name="g">'[2]PLAN  PTCA'!#REF!</definedName>
    <definedName name="ghjjk" localSheetId="0">'[1]PLAN  PTCA'!#REF!</definedName>
    <definedName name="ghjjk">'[2]PLAN  PTCA'!#REF!</definedName>
    <definedName name="gklo" localSheetId="0">'[1]PLAN  PTCA'!#REF!</definedName>
    <definedName name="gklo">'[2]PLAN  PTCA'!#REF!</definedName>
    <definedName name="h" localSheetId="0">'[1]PLAN  PTCA'!#REF!</definedName>
    <definedName name="h">'[2]PLAN  PTCA'!#REF!</definedName>
    <definedName name="I" localSheetId="0">'[1]PLAN  PTCA'!#REF!</definedName>
    <definedName name="I">'[2]PLAN  PTCA'!#REF!</definedName>
    <definedName name="J" localSheetId="0">'[1]PLAN  PTCA'!#REF!</definedName>
    <definedName name="J">'[2]PLAN  PTCA'!#REF!</definedName>
    <definedName name="L" localSheetId="0">'[1]PLAN  PTCA'!#REF!</definedName>
    <definedName name="L">'[2]PLAN  PTCA'!#REF!</definedName>
    <definedName name="LEWGFNHG" localSheetId="0">'[1]PLAN  PTCA'!#REF!</definedName>
    <definedName name="LEWGFNHG">'[2]PLAN  PTCA'!#REF!</definedName>
    <definedName name="M" localSheetId="0">'[1]PLAN  PTCA'!#REF!</definedName>
    <definedName name="M">'[2]PLAN  PTCA'!#REF!</definedName>
    <definedName name="_xlnm.Print_Area" localSheetId="0">data!$A$1:$AI$48</definedName>
    <definedName name="s" localSheetId="0">'[1]PLAN  PTCA'!#REF!</definedName>
    <definedName name="s">'[2]PLAN  PTCA'!#REF!</definedName>
    <definedName name="thnm" localSheetId="0">'[1]PLAN  PTCA'!#REF!</definedName>
    <definedName name="thnm">'[2]PLAN  PTCA'!#REF!</definedName>
    <definedName name="thuo" localSheetId="0">'[1]PLAN  PTCA'!#REF!</definedName>
    <definedName name="thuo">'[2]PLAN  PTCA'!#REF!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0" i="2" l="1"/>
  <c r="AJ26" i="2" l="1"/>
  <c r="AJ19" i="2"/>
  <c r="AJ22" i="2"/>
  <c r="AJ16" i="2"/>
  <c r="AJ20" i="2"/>
  <c r="AJ29" i="2"/>
  <c r="AJ23" i="2"/>
  <c r="AJ27" i="2"/>
  <c r="AJ17" i="2"/>
  <c r="AJ24" i="2"/>
  <c r="AJ21" i="2"/>
  <c r="AJ13" i="2"/>
  <c r="AJ14" i="2"/>
  <c r="AJ18" i="2"/>
  <c r="AJ28" i="2"/>
  <c r="AJ11" i="2"/>
  <c r="AJ15" i="2"/>
  <c r="AJ12" i="2"/>
  <c r="AJ25" i="2"/>
  <c r="AH45" i="2" l="1"/>
  <c r="I6" i="2"/>
  <c r="U44" i="2"/>
  <c r="AB45" i="2" s="1"/>
  <c r="AE46" i="2" l="1"/>
  <c r="AB46" i="2"/>
  <c r="AE45" i="2"/>
</calcChain>
</file>

<file path=xl/sharedStrings.xml><?xml version="1.0" encoding="utf-8"?>
<sst xmlns="http://schemas.openxmlformats.org/spreadsheetml/2006/main" count="104" uniqueCount="96">
  <si>
    <t>DIV / SECTION</t>
  </si>
  <si>
    <t>STERILIZATION - QA - PACKING PRODUCTION PLAN</t>
  </si>
  <si>
    <t>F - 6112 Ver 7</t>
  </si>
  <si>
    <t>GPC/  Order control</t>
  </si>
  <si>
    <t xml:space="preserve">         Page:    </t>
  </si>
  <si>
    <t>Plan request</t>
  </si>
  <si>
    <t>QR code</t>
  </si>
  <si>
    <t>PR leader check</t>
  </si>
  <si>
    <t>Production result</t>
  </si>
  <si>
    <t>Sterilize date :</t>
  </si>
  <si>
    <t>Sterilize 
M/C</t>
  </si>
  <si>
    <t>PCD type:</t>
  </si>
  <si>
    <t>Q'ty BI</t>
  </si>
  <si>
    <t>Check by</t>
  </si>
  <si>
    <t xml:space="preserve"> Sterilize M/C</t>
  </si>
  <si>
    <t>Batch No</t>
  </si>
  <si>
    <t xml:space="preserve">            Car No.        </t>
  </si>
  <si>
    <t xml:space="preserve">Start: Date       </t>
  </si>
  <si>
    <t>Time:</t>
  </si>
  <si>
    <t>Kết quả xác nhận khử trùng đúng máy</t>
  </si>
  <si>
    <t>Operator</t>
  </si>
  <si>
    <t>Batch No     :</t>
  </si>
  <si>
    <t xml:space="preserve">Finish: Date  </t>
  </si>
  <si>
    <t>OK    /   NG</t>
  </si>
  <si>
    <t>Product type</t>
  </si>
  <si>
    <t xml:space="preserve"> PTCA: </t>
  </si>
  <si>
    <t xml:space="preserve"> PLGW:</t>
  </si>
  <si>
    <t>ESGW:</t>
  </si>
  <si>
    <t>Tonus ES:</t>
  </si>
  <si>
    <t>Endoligar:</t>
  </si>
  <si>
    <t xml:space="preserve"> Hyperion:</t>
  </si>
  <si>
    <t xml:space="preserve"> CAG:</t>
  </si>
  <si>
    <t>Other:</t>
  </si>
  <si>
    <t>No</t>
  </si>
  <si>
    <t>Product information</t>
  </si>
  <si>
    <t>Number of Sterilize</t>
  </si>
  <si>
    <t>Attach label</t>
  </si>
  <si>
    <t>Q'ty test</t>
  </si>
  <si>
    <t>Sealing</t>
  </si>
  <si>
    <t>Sterilize</t>
  </si>
  <si>
    <t>Boxing</t>
  </si>
  <si>
    <t>Inspection process</t>
  </si>
  <si>
    <t>Delivery date plan</t>
  </si>
  <si>
    <t>Group
( China Only)</t>
  </si>
  <si>
    <t>Packing process</t>
  </si>
  <si>
    <t>Number rank</t>
  </si>
  <si>
    <t>Material</t>
  </si>
  <si>
    <t>Drawing list no</t>
  </si>
  <si>
    <t>Item name/
Description</t>
  </si>
  <si>
    <t>Destination</t>
  </si>
  <si>
    <t>Internal Lot
(SAP Lot)</t>
  </si>
  <si>
    <t>External Lot 1
(Hanoi Lot)</t>
  </si>
  <si>
    <t>Q'ty
(Input)</t>
  </si>
  <si>
    <t>A 
(EB1- 0331)</t>
  </si>
  <si>
    <t>B
 (EB1-1087)</t>
  </si>
  <si>
    <t>C
( EB1-1302)</t>
  </si>
  <si>
    <t>D
( EB1-2544)</t>
  </si>
  <si>
    <t>Status
(V)</t>
  </si>
  <si>
    <t>Biobudent</t>
  </si>
  <si>
    <t>Endotoxin</t>
  </si>
  <si>
    <t>Particle</t>
  </si>
  <si>
    <t>Q'ty 
Out put</t>
  </si>
  <si>
    <t>Gauge 
No</t>
  </si>
  <si>
    <t>Q'ty
Features
 test</t>
  </si>
  <si>
    <t>Keep Aeration (day)</t>
  </si>
  <si>
    <t xml:space="preserve">Judment result
</t>
  </si>
  <si>
    <t>Keep sample</t>
  </si>
  <si>
    <t>Stock in q'ty</t>
  </si>
  <si>
    <t>Stock in 
by</t>
  </si>
  <si>
    <t>Remark:\
Vị trí keep Aeration:</t>
  </si>
  <si>
    <t>Xác nhận thời gian sản phẩm cần phải AERATION. 
Ghi chép thông tin vào ô bên cạnh .
Relate document :
AVPE-1123 Ver.: ……..…….</t>
  </si>
  <si>
    <t>Status</t>
  </si>
  <si>
    <t>Plan</t>
  </si>
  <si>
    <t>By</t>
  </si>
  <si>
    <t>Actual</t>
  </si>
  <si>
    <t>Xác nhận đủ thời gian aeration</t>
  </si>
  <si>
    <t>Date</t>
  </si>
  <si>
    <t>Time</t>
  </si>
  <si>
    <t>Start</t>
  </si>
  <si>
    <t>OK    /     NG</t>
  </si>
  <si>
    <t>Finish</t>
  </si>
  <si>
    <t>* E-Form</t>
  </si>
  <si>
    <t>QA/ BIO</t>
  </si>
  <si>
    <t>Check sản phẩm test Endotoxin:  Yes /  No     Check by :</t>
  </si>
  <si>
    <t>Relate to document: AVPE-0120, AVPE-0406,  AVPC-0100</t>
  </si>
  <si>
    <t>Confirmed by</t>
  </si>
  <si>
    <t>(Mục " Destination" là kí tự " USA;Abbott; Australia;China")</t>
  </si>
  <si>
    <t>Đối với sản phẩm thực hiện Test Endotoxin , sau khi khử trùng xong sẽ chuyển F-6112 cùng BI cho BIO</t>
  </si>
  <si>
    <t>Thời điểm test</t>
  </si>
  <si>
    <t>Lot test Endotoxin</t>
  </si>
  <si>
    <t>Lot test Particle</t>
  </si>
  <si>
    <t>Trước khử trùng</t>
  </si>
  <si>
    <t>Pcs</t>
  </si>
  <si>
    <t>Sau khử trùng</t>
  </si>
  <si>
    <t>ASAHI INTECC HA NOI CO., LTD</t>
    <phoneticPr fontId="0" type="noConversion"/>
  </si>
  <si>
    <t>Effective date: 19-NOV-2025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</si>
</sst>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409]dd\-mmm\-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Times New Roman"/>
      <family val="1"/>
    </font>
    <font>
      <sz val="24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color theme="0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</cellStyleXfs>
  <cellXfs count="331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/>
    </xf>
    <xf numFmtId="0" fontId="1" fillId="0" borderId="0" xfId="2"/>
    <xf numFmtId="0" fontId="1" fillId="0" borderId="0" xfId="2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1" fillId="0" borderId="7" xfId="2" applyBorder="1"/>
    <xf numFmtId="0" fontId="1" fillId="0" borderId="8" xfId="2" applyBorder="1"/>
    <xf numFmtId="0" fontId="5" fillId="0" borderId="4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5" fillId="0" borderId="10" xfId="2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7" fillId="0" borderId="0" xfId="2" applyFont="1"/>
    <xf numFmtId="0" fontId="7" fillId="0" borderId="0" xfId="2" applyFont="1" applyAlignment="1">
      <alignment horizontal="center" vertical="center"/>
    </xf>
    <xf numFmtId="0" fontId="6" fillId="0" borderId="13" xfId="2" applyFont="1" applyBorder="1" applyAlignment="1">
      <alignment horizontal="left" vertical="center"/>
    </xf>
    <xf numFmtId="0" fontId="6" fillId="0" borderId="14" xfId="2" applyFont="1" applyBorder="1" applyAlignment="1">
      <alignment vertical="center"/>
    </xf>
    <xf numFmtId="16" fontId="8" fillId="0" borderId="15" xfId="2" applyNumberFormat="1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 wrapText="1"/>
    </xf>
    <xf numFmtId="0" fontId="6" fillId="3" borderId="18" xfId="2" applyFont="1" applyFill="1" applyBorder="1" applyAlignment="1">
      <alignment horizontal="center" vertical="center" wrapText="1"/>
    </xf>
    <xf numFmtId="16" fontId="6" fillId="2" borderId="14" xfId="2" applyNumberFormat="1" applyFont="1" applyFill="1" applyBorder="1" applyAlignment="1">
      <alignment horizontal="center" vertical="center" wrapText="1"/>
    </xf>
    <xf numFmtId="16" fontId="6" fillId="2" borderId="15" xfId="2" applyNumberFormat="1" applyFont="1" applyFill="1" applyBorder="1" applyAlignment="1">
      <alignment horizontal="center" vertical="center"/>
    </xf>
    <xf numFmtId="16" fontId="6" fillId="2" borderId="14" xfId="2" applyNumberFormat="1" applyFont="1" applyFill="1" applyBorder="1" applyAlignment="1">
      <alignment horizontal="center" vertical="center"/>
    </xf>
    <xf numFmtId="16" fontId="6" fillId="2" borderId="16" xfId="2" applyNumberFormat="1" applyFont="1" applyFill="1" applyBorder="1" applyAlignment="1">
      <alignment horizontal="center" vertical="center"/>
    </xf>
    <xf numFmtId="16" fontId="6" fillId="2" borderId="16" xfId="2" applyNumberFormat="1" applyFont="1" applyFill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0" fillId="2" borderId="17" xfId="2" applyFont="1" applyFill="1" applyBorder="1" applyAlignment="1">
      <alignment horizontal="center" vertical="center"/>
    </xf>
    <xf numFmtId="0" fontId="0" fillId="2" borderId="18" xfId="2" applyFont="1" applyFill="1" applyBorder="1" applyAlignment="1">
      <alignment horizontal="center" vertical="center"/>
    </xf>
    <xf numFmtId="0" fontId="0" fillId="2" borderId="19" xfId="2" applyFont="1" applyFill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5" xfId="2" applyFont="1" applyBorder="1" applyAlignment="1">
      <alignment vertical="center"/>
    </xf>
    <xf numFmtId="16" fontId="6" fillId="0" borderId="15" xfId="2" applyNumberFormat="1" applyFont="1" applyBorder="1" applyAlignment="1">
      <alignment vertical="center" wrapText="1"/>
    </xf>
    <xf numFmtId="16" fontId="9" fillId="0" borderId="15" xfId="2" applyNumberFormat="1" applyFont="1" applyBorder="1" applyAlignment="1">
      <alignment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20" xfId="2" applyFont="1" applyBorder="1" applyAlignment="1">
      <alignment horizontal="center" vertical="center"/>
    </xf>
    <xf numFmtId="0" fontId="6" fillId="0" borderId="21" xfId="2" applyFont="1" applyBorder="1" applyAlignment="1">
      <alignment horizontal="left" vertical="center"/>
    </xf>
    <xf numFmtId="0" fontId="6" fillId="0" borderId="22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6" fillId="3" borderId="22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 wrapText="1"/>
    </xf>
    <xf numFmtId="16" fontId="6" fillId="2" borderId="26" xfId="2" applyNumberFormat="1" applyFont="1" applyFill="1" applyBorder="1" applyAlignment="1">
      <alignment horizontal="center" vertical="center"/>
    </xf>
    <xf numFmtId="16" fontId="6" fillId="2" borderId="23" xfId="2" applyNumberFormat="1" applyFont="1" applyFill="1" applyBorder="1" applyAlignment="1">
      <alignment horizontal="center" vertical="center"/>
    </xf>
    <xf numFmtId="1" fontId="6" fillId="2" borderId="26" xfId="2" applyNumberFormat="1" applyFont="1" applyFill="1" applyBorder="1" applyAlignment="1">
      <alignment horizontal="left" vertical="center"/>
    </xf>
    <xf numFmtId="1" fontId="6" fillId="2" borderId="24" xfId="2" applyNumberFormat="1" applyFont="1" applyFill="1" applyBorder="1" applyAlignment="1">
      <alignment horizontal="left" vertical="center"/>
    </xf>
    <xf numFmtId="1" fontId="6" fillId="2" borderId="26" xfId="2" applyNumberFormat="1" applyFont="1" applyFill="1" applyBorder="1" applyAlignment="1">
      <alignment horizontal="center" vertical="center"/>
    </xf>
    <xf numFmtId="1" fontId="6" fillId="2" borderId="24" xfId="2" applyNumberFormat="1" applyFont="1" applyFill="1" applyBorder="1" applyAlignment="1">
      <alignment horizontal="center" vertical="center"/>
    </xf>
    <xf numFmtId="1" fontId="6" fillId="0" borderId="26" xfId="2" applyNumberFormat="1" applyFont="1" applyBorder="1" applyAlignment="1">
      <alignment horizontal="center" vertical="center"/>
    </xf>
    <xf numFmtId="1" fontId="6" fillId="0" borderId="24" xfId="2" applyNumberFormat="1" applyFont="1" applyBorder="1" applyAlignment="1">
      <alignment horizontal="center" vertical="center"/>
    </xf>
    <xf numFmtId="0" fontId="7" fillId="0" borderId="26" xfId="2" applyFont="1" applyBorder="1" applyAlignment="1">
      <alignment horizontal="center"/>
    </xf>
    <xf numFmtId="0" fontId="7" fillId="0" borderId="23" xfId="2" applyFont="1" applyBorder="1" applyAlignment="1">
      <alignment horizontal="center"/>
    </xf>
    <xf numFmtId="0" fontId="7" fillId="0" borderId="24" xfId="2" applyFont="1" applyBorder="1" applyAlignment="1">
      <alignment horizontal="center"/>
    </xf>
    <xf numFmtId="0" fontId="6" fillId="2" borderId="27" xfId="2" applyFont="1" applyFill="1" applyBorder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0" fontId="6" fillId="2" borderId="29" xfId="2" applyFont="1" applyFill="1" applyBorder="1" applyAlignment="1">
      <alignment horizontal="center" vertical="center"/>
    </xf>
    <xf numFmtId="0" fontId="6" fillId="0" borderId="30" xfId="2" applyFont="1" applyBorder="1" applyAlignment="1">
      <alignment vertical="center"/>
    </xf>
    <xf numFmtId="0" fontId="6" fillId="0" borderId="26" xfId="2" applyFont="1" applyBorder="1" applyAlignment="1">
      <alignment vertical="center"/>
    </xf>
    <xf numFmtId="0" fontId="6" fillId="0" borderId="23" xfId="2" applyFont="1" applyBorder="1" applyAlignment="1">
      <alignment vertical="center"/>
    </xf>
    <xf numFmtId="0" fontId="6" fillId="0" borderId="26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31" xfId="2" applyFont="1" applyBorder="1" applyAlignment="1">
      <alignment horizontal="center" vertical="center"/>
    </xf>
    <xf numFmtId="0" fontId="6" fillId="0" borderId="7" xfId="2" applyFont="1" applyBorder="1"/>
    <xf numFmtId="0" fontId="6" fillId="0" borderId="0" xfId="2" applyFont="1"/>
    <xf numFmtId="0" fontId="6" fillId="0" borderId="25" xfId="2" applyFont="1" applyBorder="1"/>
    <xf numFmtId="0" fontId="8" fillId="3" borderId="32" xfId="2" applyFont="1" applyFill="1" applyBorder="1" applyAlignment="1">
      <alignment horizontal="center" vertical="center"/>
    </xf>
    <xf numFmtId="0" fontId="8" fillId="3" borderId="33" xfId="2" applyFont="1" applyFill="1" applyBorder="1" applyAlignment="1">
      <alignment horizontal="center" vertical="center"/>
    </xf>
    <xf numFmtId="0" fontId="8" fillId="3" borderId="34" xfId="2" applyFont="1" applyFill="1" applyBorder="1" applyAlignment="1">
      <alignment horizontal="center" vertical="center"/>
    </xf>
    <xf numFmtId="0" fontId="8" fillId="3" borderId="35" xfId="2" applyFont="1" applyFill="1" applyBorder="1" applyAlignment="1"/>
    <xf numFmtId="0" fontId="8" fillId="3" borderId="33" xfId="2" applyFont="1" applyFill="1" applyBorder="1" applyAlignment="1">
      <alignment horizontal="center"/>
    </xf>
    <xf numFmtId="0" fontId="8" fillId="3" borderId="34" xfId="2" applyFont="1" applyFill="1" applyBorder="1" applyAlignment="1">
      <alignment horizontal="center"/>
    </xf>
    <xf numFmtId="0" fontId="8" fillId="3" borderId="35" xfId="3" applyFont="1" applyFill="1" applyBorder="1" applyAlignment="1">
      <alignment shrinkToFit="1"/>
    </xf>
    <xf numFmtId="0" fontId="8" fillId="3" borderId="33" xfId="3" applyFont="1" applyFill="1" applyBorder="1" applyAlignment="1">
      <alignment shrinkToFit="1"/>
    </xf>
    <xf numFmtId="0" fontId="8" fillId="3" borderId="35" xfId="3" applyFont="1" applyFill="1" applyBorder="1" applyAlignment="1">
      <alignment horizontal="left" shrinkToFit="1"/>
    </xf>
    <xf numFmtId="0" fontId="8" fillId="3" borderId="33" xfId="3" applyFont="1" applyFill="1" applyBorder="1" applyAlignment="1">
      <alignment horizontal="left" shrinkToFit="1"/>
    </xf>
    <xf numFmtId="0" fontId="8" fillId="3" borderId="33" xfId="3" applyFont="1" applyFill="1" applyBorder="1" applyAlignment="1">
      <alignment horizontal="center" shrinkToFit="1"/>
    </xf>
    <xf numFmtId="0" fontId="8" fillId="3" borderId="34" xfId="3" applyFont="1" applyFill="1" applyBorder="1" applyAlignment="1">
      <alignment horizontal="center" shrinkToFit="1"/>
    </xf>
    <xf numFmtId="0" fontId="8" fillId="3" borderId="34" xfId="4" applyFont="1" applyFill="1" applyBorder="1" applyAlignment="1">
      <alignment horizontal="center" shrinkToFit="1"/>
    </xf>
    <xf numFmtId="0" fontId="8" fillId="3" borderId="35" xfId="4" applyFont="1" applyFill="1" applyBorder="1" applyAlignment="1">
      <alignment horizontal="center" shrinkToFit="1"/>
    </xf>
    <xf numFmtId="0" fontId="8" fillId="3" borderId="33" xfId="4" applyFont="1" applyFill="1" applyBorder="1" applyAlignment="1">
      <alignment horizontal="center" shrinkToFit="1"/>
    </xf>
    <xf numFmtId="0" fontId="8" fillId="3" borderId="34" xfId="4" applyFont="1" applyFill="1" applyBorder="1" applyAlignment="1">
      <alignment horizontal="center" shrinkToFit="1"/>
    </xf>
    <xf numFmtId="0" fontId="8" fillId="3" borderId="33" xfId="5" applyFont="1" applyFill="1" applyBorder="1" applyAlignment="1">
      <alignment horizontal="left" shrinkToFit="1"/>
    </xf>
    <xf numFmtId="0" fontId="8" fillId="3" borderId="35" xfId="5" applyFont="1" applyFill="1" applyBorder="1" applyAlignment="1">
      <alignment horizontal="left" shrinkToFit="1"/>
    </xf>
    <xf numFmtId="0" fontId="8" fillId="3" borderId="34" xfId="5" applyFont="1" applyFill="1" applyBorder="1" applyAlignment="1">
      <alignment horizontal="left" shrinkToFit="1"/>
    </xf>
    <xf numFmtId="164" fontId="8" fillId="3" borderId="33" xfId="3" applyNumberFormat="1" applyFont="1" applyFill="1" applyBorder="1" applyAlignment="1">
      <alignment horizontal="center" shrinkToFit="1"/>
    </xf>
    <xf numFmtId="0" fontId="8" fillId="3" borderId="33" xfId="6" applyFont="1" applyFill="1" applyBorder="1" applyAlignment="1">
      <alignment horizontal="center" shrinkToFit="1"/>
    </xf>
    <xf numFmtId="0" fontId="8" fillId="3" borderId="36" xfId="6" applyFont="1" applyFill="1" applyBorder="1" applyAlignment="1">
      <alignment horizontal="center" shrinkToFit="1"/>
    </xf>
    <xf numFmtId="0" fontId="10" fillId="0" borderId="0" xfId="2" applyFont="1" applyAlignment="1">
      <alignment horizontal="center"/>
    </xf>
    <xf numFmtId="0" fontId="10" fillId="0" borderId="0" xfId="2" applyFont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1" fontId="3" fillId="2" borderId="4" xfId="1" applyNumberFormat="1" applyFont="1" applyFill="1" applyBorder="1" applyAlignment="1" applyProtection="1">
      <alignment horizontal="center" vertical="center"/>
      <protection locked="0"/>
    </xf>
    <xf numFmtId="0" fontId="3" fillId="2" borderId="9" xfId="1" applyFont="1" applyFill="1" applyBorder="1" applyAlignment="1" applyProtection="1">
      <alignment horizontal="center" vertical="center" wrapText="1"/>
      <protection locked="0"/>
    </xf>
    <xf numFmtId="0" fontId="3" fillId="2" borderId="10" xfId="1" applyFont="1" applyFill="1" applyBorder="1" applyAlignment="1" applyProtection="1">
      <alignment horizontal="center" vertical="center" wrapText="1"/>
      <protection locked="0"/>
    </xf>
    <xf numFmtId="0" fontId="3" fillId="2" borderId="11" xfId="1" applyFont="1" applyFill="1" applyBorder="1" applyAlignment="1" applyProtection="1">
      <alignment horizontal="center" vertical="center" wrapText="1"/>
      <protection locked="0"/>
    </xf>
    <xf numFmtId="0" fontId="3" fillId="0" borderId="9" xfId="1" applyFont="1" applyBorder="1" applyAlignment="1" applyProtection="1">
      <alignment horizontal="center" vertical="center" wrapText="1"/>
      <protection locked="0"/>
    </xf>
    <xf numFmtId="0" fontId="3" fillId="0" borderId="10" xfId="1" applyFont="1" applyBorder="1" applyAlignment="1" applyProtection="1">
      <alignment horizontal="center" vertical="center" wrapText="1"/>
      <protection locked="0"/>
    </xf>
    <xf numFmtId="0" fontId="3" fillId="0" borderId="11" xfId="1" applyFont="1" applyBorder="1" applyAlignment="1" applyProtection="1">
      <alignment horizontal="center" vertical="center" wrapText="1"/>
      <protection locked="0"/>
    </xf>
    <xf numFmtId="0" fontId="3" fillId="2" borderId="9" xfId="1" applyFont="1" applyFill="1" applyBorder="1" applyAlignment="1" applyProtection="1">
      <alignment horizontal="center" vertical="center" wrapText="1"/>
      <protection locked="0"/>
    </xf>
    <xf numFmtId="0" fontId="3" fillId="2" borderId="5" xfId="1" applyFont="1" applyFill="1" applyBorder="1" applyAlignment="1" applyProtection="1">
      <alignment horizontal="center" vertical="center" wrapText="1"/>
      <protection locked="0"/>
    </xf>
    <xf numFmtId="0" fontId="3" fillId="2" borderId="10" xfId="1" applyFont="1" applyFill="1" applyBorder="1" applyAlignment="1" applyProtection="1">
      <alignment horizontal="center" vertical="center"/>
      <protection locked="0"/>
    </xf>
    <xf numFmtId="0" fontId="3" fillId="2" borderId="11" xfId="1" applyFont="1" applyFill="1" applyBorder="1" applyAlignment="1" applyProtection="1">
      <alignment horizontal="center" vertical="center"/>
      <protection locked="0"/>
    </xf>
    <xf numFmtId="164" fontId="3" fillId="0" borderId="5" xfId="1" applyNumberFormat="1" applyFont="1" applyBorder="1" applyAlignment="1" applyProtection="1">
      <alignment horizontal="center" vertical="center" wrapText="1"/>
      <protection locked="0"/>
    </xf>
    <xf numFmtId="164" fontId="3" fillId="0" borderId="9" xfId="1" applyNumberFormat="1" applyFont="1" applyBorder="1" applyAlignment="1" applyProtection="1">
      <alignment horizontal="center" vertical="center" wrapText="1"/>
      <protection locked="0"/>
    </xf>
    <xf numFmtId="0" fontId="3" fillId="0" borderId="12" xfId="1" applyFont="1" applyBorder="1" applyAlignment="1" applyProtection="1">
      <alignment horizontal="center" vertical="center" wrapText="1"/>
      <protection locked="0"/>
    </xf>
    <xf numFmtId="0" fontId="6" fillId="2" borderId="5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 wrapText="1"/>
    </xf>
    <xf numFmtId="0" fontId="3" fillId="2" borderId="10" xfId="7" applyFont="1" applyFill="1" applyBorder="1" applyAlignment="1">
      <alignment horizontal="center" vertical="center" wrapText="1"/>
    </xf>
    <xf numFmtId="0" fontId="3" fillId="2" borderId="11" xfId="7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/>
    </xf>
    <xf numFmtId="2" fontId="3" fillId="2" borderId="5" xfId="7" applyNumberFormat="1" applyFont="1" applyFill="1" applyBorder="1" applyAlignment="1">
      <alignment horizontal="center" vertical="center" wrapText="1"/>
    </xf>
    <xf numFmtId="0" fontId="3" fillId="0" borderId="37" xfId="1" applyFont="1" applyBorder="1" applyAlignment="1" applyProtection="1">
      <alignment horizontal="center" vertical="center" wrapText="1"/>
      <protection locked="0"/>
    </xf>
    <xf numFmtId="0" fontId="3" fillId="0" borderId="5" xfId="1" applyFont="1" applyBorder="1" applyAlignment="1" applyProtection="1">
      <alignment horizontal="center" vertical="center" wrapText="1"/>
      <protection locked="0"/>
    </xf>
    <xf numFmtId="0" fontId="12" fillId="2" borderId="38" xfId="1" applyFont="1" applyFill="1" applyBorder="1" applyAlignment="1" applyProtection="1">
      <alignment horizontal="center" vertical="center" wrapText="1"/>
      <protection locked="0"/>
    </xf>
    <xf numFmtId="0" fontId="3" fillId="3" borderId="5" xfId="1" applyFont="1" applyFill="1" applyBorder="1" applyAlignment="1" applyProtection="1">
      <alignment horizontal="center" vertical="center" wrapText="1"/>
      <protection locked="0"/>
    </xf>
    <xf numFmtId="0" fontId="6" fillId="0" borderId="13" xfId="2" applyFont="1" applyBorder="1" applyAlignment="1">
      <alignment horizontal="center"/>
    </xf>
    <xf numFmtId="0" fontId="6" fillId="0" borderId="39" xfId="3" applyFont="1" applyBorder="1" applyAlignment="1">
      <alignment horizontal="center" shrinkToFit="1"/>
    </xf>
    <xf numFmtId="0" fontId="6" fillId="0" borderId="40" xfId="3" applyFont="1" applyBorder="1" applyAlignment="1">
      <alignment horizontal="center" shrinkToFit="1"/>
    </xf>
    <xf numFmtId="0" fontId="6" fillId="0" borderId="41" xfId="3" applyFont="1" applyBorder="1" applyAlignment="1">
      <alignment horizontal="center" shrinkToFit="1"/>
    </xf>
    <xf numFmtId="0" fontId="6" fillId="0" borderId="40" xfId="3" quotePrefix="1" applyFont="1" applyBorder="1" applyAlignment="1">
      <alignment horizontal="center" shrinkToFit="1"/>
    </xf>
    <xf numFmtId="0" fontId="6" fillId="0" borderId="42" xfId="3" applyFont="1" applyBorder="1" applyAlignment="1">
      <alignment horizontal="center" shrinkToFit="1"/>
    </xf>
    <xf numFmtId="0" fontId="6" fillId="0" borderId="39" xfId="4" applyFont="1" applyBorder="1" applyAlignment="1">
      <alignment horizontal="center" shrinkToFit="1"/>
    </xf>
    <xf numFmtId="0" fontId="6" fillId="0" borderId="43" xfId="2" applyFont="1" applyBorder="1" applyAlignment="1">
      <alignment horizontal="center" shrinkToFit="1"/>
    </xf>
    <xf numFmtId="0" fontId="6" fillId="2" borderId="39" xfId="2" applyFont="1" applyFill="1" applyBorder="1" applyAlignment="1">
      <alignment horizontal="center" shrinkToFit="1"/>
    </xf>
    <xf numFmtId="0" fontId="6" fillId="2" borderId="39" xfId="4" applyFont="1" applyFill="1" applyBorder="1" applyAlignment="1">
      <alignment horizontal="center" shrinkToFit="1"/>
    </xf>
    <xf numFmtId="0" fontId="9" fillId="0" borderId="39" xfId="3" applyFont="1" applyFill="1" applyBorder="1" applyAlignment="1">
      <alignment horizontal="center" vertical="center" shrinkToFit="1"/>
    </xf>
    <xf numFmtId="0" fontId="6" fillId="2" borderId="39" xfId="5" applyFont="1" applyFill="1" applyBorder="1" applyAlignment="1">
      <alignment horizontal="center" shrinkToFit="1"/>
    </xf>
    <xf numFmtId="0" fontId="6" fillId="2" borderId="39" xfId="3" applyFont="1" applyFill="1" applyBorder="1" applyAlignment="1">
      <alignment horizontal="center" shrinkToFit="1"/>
    </xf>
    <xf numFmtId="0" fontId="6" fillId="2" borderId="39" xfId="8" applyFont="1" applyFill="1" applyBorder="1" applyAlignment="1">
      <alignment horizontal="center" shrinkToFit="1"/>
    </xf>
    <xf numFmtId="0" fontId="6" fillId="0" borderId="39" xfId="8" applyFont="1" applyBorder="1" applyAlignment="1">
      <alignment horizontal="center" shrinkToFit="1"/>
    </xf>
    <xf numFmtId="0" fontId="9" fillId="0" borderId="44" xfId="3" applyFont="1" applyFill="1" applyBorder="1" applyAlignment="1">
      <alignment horizontal="center" vertical="center" shrinkToFit="1"/>
    </xf>
    <xf numFmtId="164" fontId="6" fillId="0" borderId="40" xfId="3" applyNumberFormat="1" applyFont="1" applyBorder="1" applyAlignment="1">
      <alignment horizontal="center" shrinkToFit="1"/>
    </xf>
    <xf numFmtId="164" fontId="6" fillId="0" borderId="41" xfId="3" applyNumberFormat="1" applyFont="1" applyBorder="1" applyAlignment="1">
      <alignment horizontal="center" shrinkToFit="1"/>
    </xf>
    <xf numFmtId="0" fontId="6" fillId="0" borderId="39" xfId="6" applyFont="1" applyBorder="1" applyAlignment="1">
      <alignment horizontal="center" shrinkToFit="1"/>
    </xf>
    <xf numFmtId="0" fontId="6" fillId="0" borderId="40" xfId="6" applyFont="1" applyBorder="1" applyAlignment="1">
      <alignment horizontal="center" shrinkToFit="1"/>
    </xf>
    <xf numFmtId="0" fontId="6" fillId="0" borderId="45" xfId="6" applyFont="1" applyBorder="1" applyAlignment="1">
      <alignment horizontal="center" shrinkToFit="1"/>
    </xf>
    <xf numFmtId="0" fontId="6" fillId="0" borderId="46" xfId="2" applyFont="1" applyBorder="1" applyAlignment="1">
      <alignment horizontal="center"/>
    </xf>
    <xf numFmtId="0" fontId="9" fillId="0" borderId="43" xfId="3" applyFont="1" applyFill="1" applyBorder="1" applyAlignment="1">
      <alignment horizontal="center" vertical="center" shrinkToFit="1"/>
    </xf>
    <xf numFmtId="0" fontId="6" fillId="2" borderId="39" xfId="3" applyFont="1" applyFill="1" applyBorder="1" applyAlignment="1">
      <alignment horizontal="center" vertical="center" shrinkToFit="1"/>
    </xf>
    <xf numFmtId="0" fontId="6" fillId="0" borderId="40" xfId="3" quotePrefix="1" applyFont="1" applyFill="1" applyBorder="1" applyAlignment="1">
      <alignment horizontal="center" shrinkToFit="1"/>
    </xf>
    <xf numFmtId="0" fontId="6" fillId="0" borderId="39" xfId="3" applyFont="1" applyBorder="1" applyAlignment="1">
      <alignment horizontal="center" vertical="center" shrinkToFit="1"/>
    </xf>
    <xf numFmtId="0" fontId="6" fillId="0" borderId="40" xfId="6" applyFont="1" applyBorder="1" applyAlignment="1">
      <alignment horizontal="center" shrinkToFit="1"/>
    </xf>
    <xf numFmtId="0" fontId="6" fillId="0" borderId="45" xfId="6" applyFont="1" applyBorder="1" applyAlignment="1">
      <alignment horizontal="center" shrinkToFit="1"/>
    </xf>
    <xf numFmtId="0" fontId="9" fillId="0" borderId="39" xfId="4" applyFont="1" applyBorder="1" applyAlignment="1">
      <alignment horizontal="center" shrinkToFit="1"/>
    </xf>
    <xf numFmtId="0" fontId="9" fillId="0" borderId="39" xfId="3" applyFont="1" applyBorder="1" applyAlignment="1">
      <alignment horizontal="center" vertical="center" shrinkToFit="1"/>
    </xf>
    <xf numFmtId="0" fontId="9" fillId="2" borderId="39" xfId="5" applyFont="1" applyFill="1" applyBorder="1" applyAlignment="1">
      <alignment horizontal="center" shrinkToFit="1"/>
    </xf>
    <xf numFmtId="0" fontId="9" fillId="0" borderId="39" xfId="8" applyFont="1" applyBorder="1" applyAlignment="1">
      <alignment horizontal="center" shrinkToFit="1"/>
    </xf>
    <xf numFmtId="0" fontId="9" fillId="0" borderId="39" xfId="3" applyFont="1" applyBorder="1" applyAlignment="1">
      <alignment horizontal="center" shrinkToFit="1"/>
    </xf>
    <xf numFmtId="0" fontId="9" fillId="0" borderId="39" xfId="6" applyFont="1" applyBorder="1" applyAlignment="1">
      <alignment horizontal="center" shrinkToFit="1"/>
    </xf>
    <xf numFmtId="0" fontId="9" fillId="0" borderId="40" xfId="6" applyFont="1" applyBorder="1" applyAlignment="1">
      <alignment horizontal="center" shrinkToFit="1"/>
    </xf>
    <xf numFmtId="0" fontId="9" fillId="0" borderId="45" xfId="6" applyFont="1" applyBorder="1" applyAlignment="1">
      <alignment horizontal="center" shrinkToFit="1"/>
    </xf>
    <xf numFmtId="0" fontId="9" fillId="0" borderId="47" xfId="4" applyFont="1" applyBorder="1" applyAlignment="1">
      <alignment horizontal="center" shrinkToFit="1"/>
    </xf>
    <xf numFmtId="0" fontId="9" fillId="0" borderId="47" xfId="3" applyFont="1" applyBorder="1" applyAlignment="1">
      <alignment horizontal="center" vertical="center" shrinkToFit="1"/>
    </xf>
    <xf numFmtId="0" fontId="9" fillId="2" borderId="47" xfId="5" applyFont="1" applyFill="1" applyBorder="1" applyAlignment="1">
      <alignment horizontal="center" shrinkToFit="1"/>
    </xf>
    <xf numFmtId="0" fontId="9" fillId="0" borderId="47" xfId="8" applyFont="1" applyBorder="1" applyAlignment="1">
      <alignment horizontal="center" shrinkToFit="1"/>
    </xf>
    <xf numFmtId="0" fontId="9" fillId="0" borderId="47" xfId="3" applyFont="1" applyBorder="1" applyAlignment="1">
      <alignment horizontal="center" shrinkToFit="1"/>
    </xf>
    <xf numFmtId="0" fontId="9" fillId="0" borderId="47" xfId="6" applyFont="1" applyBorder="1" applyAlignment="1">
      <alignment horizontal="center" shrinkToFit="1"/>
    </xf>
    <xf numFmtId="0" fontId="9" fillId="0" borderId="48" xfId="6" applyFont="1" applyBorder="1" applyAlignment="1">
      <alignment horizontal="center" shrinkToFit="1"/>
    </xf>
    <xf numFmtId="0" fontId="9" fillId="0" borderId="8" xfId="6" applyFont="1" applyBorder="1" applyAlignment="1">
      <alignment horizontal="center" shrinkToFit="1"/>
    </xf>
    <xf numFmtId="0" fontId="6" fillId="0" borderId="49" xfId="2" applyFont="1" applyBorder="1" applyAlignment="1"/>
    <xf numFmtId="0" fontId="6" fillId="0" borderId="10" xfId="2" applyFont="1" applyBorder="1" applyAlignment="1"/>
    <xf numFmtId="0" fontId="6" fillId="0" borderId="12" xfId="2" applyFont="1" applyBorder="1" applyAlignment="1"/>
    <xf numFmtId="0" fontId="13" fillId="2" borderId="50" xfId="2" applyFont="1" applyFill="1" applyBorder="1" applyAlignment="1">
      <alignment horizontal="left" vertical="top" wrapText="1"/>
    </xf>
    <xf numFmtId="0" fontId="13" fillId="2" borderId="18" xfId="2" applyFont="1" applyFill="1" applyBorder="1" applyAlignment="1">
      <alignment horizontal="left" vertical="top"/>
    </xf>
    <xf numFmtId="0" fontId="13" fillId="2" borderId="19" xfId="2" applyFont="1" applyFill="1" applyBorder="1" applyAlignment="1">
      <alignment horizontal="left" vertical="top"/>
    </xf>
    <xf numFmtId="0" fontId="13" fillId="2" borderId="17" xfId="2" applyFont="1" applyFill="1" applyBorder="1" applyAlignment="1">
      <alignment horizontal="left" vertical="center" wrapText="1"/>
    </xf>
    <xf numFmtId="0" fontId="13" fillId="2" borderId="18" xfId="2" applyFont="1" applyFill="1" applyBorder="1" applyAlignment="1">
      <alignment horizontal="left" vertical="center" wrapText="1"/>
    </xf>
    <xf numFmtId="0" fontId="13" fillId="2" borderId="19" xfId="2" applyFont="1" applyFill="1" applyBorder="1" applyAlignment="1">
      <alignment horizontal="left" vertical="center" wrapText="1"/>
    </xf>
    <xf numFmtId="0" fontId="13" fillId="2" borderId="17" xfId="2" applyFont="1" applyFill="1" applyBorder="1" applyAlignment="1">
      <alignment horizontal="center" vertical="center"/>
    </xf>
    <xf numFmtId="0" fontId="13" fillId="2" borderId="19" xfId="2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 vertical="center" wrapText="1"/>
    </xf>
    <xf numFmtId="0" fontId="13" fillId="2" borderId="10" xfId="2" applyFont="1" applyFill="1" applyBorder="1" applyAlignment="1">
      <alignment horizontal="center" vertical="center" wrapText="1"/>
    </xf>
    <xf numFmtId="0" fontId="13" fillId="2" borderId="9" xfId="2" applyFont="1" applyFill="1" applyBorder="1" applyAlignment="1">
      <alignment horizontal="center" vertical="center"/>
    </xf>
    <xf numFmtId="0" fontId="13" fillId="2" borderId="10" xfId="2" applyFont="1" applyFill="1" applyBorder="1" applyAlignment="1">
      <alignment horizontal="center" vertical="center"/>
    </xf>
    <xf numFmtId="0" fontId="13" fillId="2" borderId="11" xfId="2" applyFont="1" applyFill="1" applyBorder="1" applyAlignment="1">
      <alignment horizontal="center" vertical="center"/>
    </xf>
    <xf numFmtId="0" fontId="13" fillId="2" borderId="17" xfId="2" applyFont="1" applyFill="1" applyBorder="1" applyAlignment="1">
      <alignment horizontal="center" vertical="center" wrapText="1"/>
    </xf>
    <xf numFmtId="0" fontId="13" fillId="2" borderId="18" xfId="2" applyFont="1" applyFill="1" applyBorder="1" applyAlignment="1">
      <alignment horizontal="center" vertical="center" wrapText="1"/>
    </xf>
    <xf numFmtId="0" fontId="13" fillId="2" borderId="19" xfId="2" applyFont="1" applyFill="1" applyBorder="1" applyAlignment="1">
      <alignment horizontal="center" vertical="center" wrapText="1"/>
    </xf>
    <xf numFmtId="0" fontId="13" fillId="2" borderId="51" xfId="2" applyFont="1" applyFill="1" applyBorder="1" applyAlignment="1">
      <alignment horizontal="center" vertical="center"/>
    </xf>
    <xf numFmtId="0" fontId="13" fillId="2" borderId="7" xfId="2" applyFont="1" applyFill="1" applyBorder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13" fillId="2" borderId="52" xfId="2" applyFont="1" applyFill="1" applyBorder="1" applyAlignment="1">
      <alignment horizontal="left" vertical="top"/>
    </xf>
    <xf numFmtId="0" fontId="13" fillId="2" borderId="48" xfId="2" applyFont="1" applyFill="1" applyBorder="1" applyAlignment="1">
      <alignment horizontal="left" vertical="center" wrapText="1"/>
    </xf>
    <xf numFmtId="0" fontId="13" fillId="2" borderId="0" xfId="2" applyFont="1" applyFill="1" applyAlignment="1">
      <alignment horizontal="left" vertical="center" wrapText="1"/>
    </xf>
    <xf numFmtId="0" fontId="13" fillId="2" borderId="52" xfId="2" applyFont="1" applyFill="1" applyBorder="1" applyAlignment="1">
      <alignment horizontal="left" vertical="center" wrapText="1"/>
    </xf>
    <xf numFmtId="0" fontId="13" fillId="2" borderId="22" xfId="2" applyFont="1" applyFill="1" applyBorder="1" applyAlignment="1">
      <alignment horizontal="center" vertical="center"/>
    </xf>
    <xf numFmtId="0" fontId="13" fillId="2" borderId="53" xfId="2" applyFont="1" applyFill="1" applyBorder="1" applyAlignment="1">
      <alignment horizontal="center" vertical="center"/>
    </xf>
    <xf numFmtId="0" fontId="13" fillId="2" borderId="22" xfId="2" applyFont="1" applyFill="1" applyBorder="1" applyAlignment="1">
      <alignment horizontal="center" vertical="center" wrapText="1"/>
    </xf>
    <xf numFmtId="0" fontId="13" fillId="2" borderId="25" xfId="2" applyFont="1" applyFill="1" applyBorder="1" applyAlignment="1">
      <alignment horizontal="center" vertical="center" wrapText="1"/>
    </xf>
    <xf numFmtId="0" fontId="13" fillId="2" borderId="25" xfId="2" applyFont="1" applyFill="1" applyBorder="1" applyAlignment="1">
      <alignment horizontal="center" vertical="center" wrapText="1"/>
    </xf>
    <xf numFmtId="0" fontId="13" fillId="2" borderId="5" xfId="2" applyFont="1" applyFill="1" applyBorder="1" applyAlignment="1">
      <alignment horizontal="center" vertical="center"/>
    </xf>
    <xf numFmtId="0" fontId="13" fillId="2" borderId="53" xfId="2" applyFont="1" applyFill="1" applyBorder="1" applyAlignment="1">
      <alignment horizontal="center" vertical="center" wrapText="1"/>
    </xf>
    <xf numFmtId="0" fontId="13" fillId="2" borderId="54" xfId="2" applyFont="1" applyFill="1" applyBorder="1" applyAlignment="1">
      <alignment horizontal="center" vertical="center"/>
    </xf>
    <xf numFmtId="0" fontId="13" fillId="2" borderId="40" xfId="2" applyFont="1" applyFill="1" applyBorder="1" applyAlignment="1">
      <alignment horizontal="center" vertical="center"/>
    </xf>
    <xf numFmtId="0" fontId="13" fillId="2" borderId="41" xfId="2" applyFont="1" applyFill="1" applyBorder="1" applyAlignment="1">
      <alignment horizontal="center" vertical="center"/>
    </xf>
    <xf numFmtId="0" fontId="13" fillId="2" borderId="40" xfId="2" applyFont="1" applyFill="1" applyBorder="1" applyAlignment="1">
      <alignment horizontal="center" vertical="center" wrapText="1"/>
    </xf>
    <xf numFmtId="0" fontId="13" fillId="2" borderId="55" xfId="2" applyFont="1" applyFill="1" applyBorder="1" applyAlignment="1">
      <alignment horizontal="center" vertical="center" wrapText="1"/>
    </xf>
    <xf numFmtId="0" fontId="13" fillId="2" borderId="55" xfId="2" applyFont="1" applyFill="1" applyBorder="1" applyAlignment="1">
      <alignment horizontal="center" vertical="center" wrapText="1"/>
    </xf>
    <xf numFmtId="0" fontId="13" fillId="2" borderId="41" xfId="2" applyFont="1" applyFill="1" applyBorder="1" applyAlignment="1">
      <alignment horizontal="center" vertical="center" wrapText="1"/>
    </xf>
    <xf numFmtId="0" fontId="13" fillId="2" borderId="0" xfId="2" applyFont="1" applyFill="1" applyAlignment="1">
      <alignment vertical="center"/>
    </xf>
    <xf numFmtId="0" fontId="13" fillId="2" borderId="40" xfId="2" applyFont="1" applyFill="1" applyBorder="1" applyAlignment="1">
      <alignment vertical="center"/>
    </xf>
    <xf numFmtId="0" fontId="13" fillId="2" borderId="55" xfId="2" applyFont="1" applyFill="1" applyBorder="1" applyAlignment="1">
      <alignment vertical="center"/>
    </xf>
    <xf numFmtId="0" fontId="13" fillId="2" borderId="56" xfId="2" applyFont="1" applyFill="1" applyBorder="1" applyAlignment="1">
      <alignment horizontal="center" vertical="center"/>
    </xf>
    <xf numFmtId="0" fontId="13" fillId="2" borderId="18" xfId="2" applyFont="1" applyFill="1" applyBorder="1" applyAlignment="1">
      <alignment horizontal="center" vertical="center"/>
    </xf>
    <xf numFmtId="0" fontId="13" fillId="2" borderId="57" xfId="2" applyFont="1" applyFill="1" applyBorder="1" applyAlignment="1">
      <alignment horizontal="left" vertical="top"/>
    </xf>
    <xf numFmtId="0" fontId="13" fillId="2" borderId="25" xfId="2" applyFont="1" applyFill="1" applyBorder="1" applyAlignment="1">
      <alignment horizontal="left" vertical="top"/>
    </xf>
    <xf numFmtId="0" fontId="13" fillId="2" borderId="53" xfId="2" applyFont="1" applyFill="1" applyBorder="1" applyAlignment="1">
      <alignment horizontal="left" vertical="top"/>
    </xf>
    <xf numFmtId="0" fontId="13" fillId="2" borderId="22" xfId="2" applyFont="1" applyFill="1" applyBorder="1" applyAlignment="1">
      <alignment horizontal="left" vertical="center" wrapText="1"/>
    </xf>
    <xf numFmtId="0" fontId="13" fillId="2" borderId="25" xfId="2" applyFont="1" applyFill="1" applyBorder="1" applyAlignment="1">
      <alignment horizontal="left" vertical="center" wrapText="1"/>
    </xf>
    <xf numFmtId="0" fontId="13" fillId="2" borderId="53" xfId="2" applyFont="1" applyFill="1" applyBorder="1" applyAlignment="1">
      <alignment horizontal="left" vertical="center" wrapText="1"/>
    </xf>
    <xf numFmtId="0" fontId="13" fillId="2" borderId="26" xfId="2" applyFont="1" applyFill="1" applyBorder="1" applyAlignment="1">
      <alignment horizontal="center" vertical="center"/>
    </xf>
    <xf numFmtId="0" fontId="13" fillId="2" borderId="24" xfId="2" applyFont="1" applyFill="1" applyBorder="1" applyAlignment="1">
      <alignment horizontal="center" vertical="center"/>
    </xf>
    <xf numFmtId="0" fontId="13" fillId="2" borderId="26" xfId="2" applyFont="1" applyFill="1" applyBorder="1" applyAlignment="1">
      <alignment horizontal="center" vertical="center" wrapText="1"/>
    </xf>
    <xf numFmtId="0" fontId="13" fillId="2" borderId="23" xfId="2" applyFont="1" applyFill="1" applyBorder="1" applyAlignment="1">
      <alignment horizontal="center" vertical="center" wrapText="1"/>
    </xf>
    <xf numFmtId="0" fontId="13" fillId="2" borderId="23" xfId="2" applyFont="1" applyFill="1" applyBorder="1" applyAlignment="1">
      <alignment horizontal="center" vertical="center" wrapText="1"/>
    </xf>
    <xf numFmtId="0" fontId="13" fillId="2" borderId="24" xfId="2" applyFont="1" applyFill="1" applyBorder="1" applyAlignment="1">
      <alignment horizontal="center" vertical="center" wrapText="1"/>
    </xf>
    <xf numFmtId="0" fontId="13" fillId="2" borderId="25" xfId="2" applyFont="1" applyFill="1" applyBorder="1" applyAlignment="1">
      <alignment vertical="center"/>
    </xf>
    <xf numFmtId="0" fontId="13" fillId="2" borderId="26" xfId="2" applyFont="1" applyFill="1" applyBorder="1" applyAlignment="1">
      <alignment vertical="center"/>
    </xf>
    <xf numFmtId="0" fontId="13" fillId="2" borderId="23" xfId="2" applyFont="1" applyFill="1" applyBorder="1" applyAlignment="1">
      <alignment vertical="center"/>
    </xf>
    <xf numFmtId="0" fontId="13" fillId="2" borderId="38" xfId="2" applyFont="1" applyFill="1" applyBorder="1" applyAlignment="1">
      <alignment horizontal="center" vertical="center"/>
    </xf>
    <xf numFmtId="0" fontId="13" fillId="2" borderId="25" xfId="2" applyFont="1" applyFill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vertical="center"/>
    </xf>
    <xf numFmtId="0" fontId="9" fillId="0" borderId="8" xfId="2" applyFont="1" applyBorder="1" applyAlignment="1">
      <alignment vertical="center"/>
    </xf>
    <xf numFmtId="0" fontId="0" fillId="0" borderId="0" xfId="2" applyFont="1"/>
    <xf numFmtId="0" fontId="12" fillId="2" borderId="57" xfId="1" applyFont="1" applyFill="1" applyBorder="1" applyAlignment="1">
      <alignment horizontal="left" vertical="center"/>
    </xf>
    <xf numFmtId="0" fontId="12" fillId="2" borderId="25" xfId="1" applyFont="1" applyFill="1" applyBorder="1"/>
    <xf numFmtId="0" fontId="12" fillId="2" borderId="25" xfId="1" applyFont="1" applyFill="1" applyBorder="1" applyAlignment="1">
      <alignment horizontal="center"/>
    </xf>
    <xf numFmtId="0" fontId="12" fillId="2" borderId="25" xfId="1" applyFont="1" applyFill="1" applyBorder="1" applyProtection="1">
      <protection locked="0"/>
    </xf>
    <xf numFmtId="0" fontId="12" fillId="2" borderId="25" xfId="1" applyFont="1" applyFill="1" applyBorder="1" applyAlignment="1" applyProtection="1">
      <alignment horizont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165" fontId="12" fillId="2" borderId="25" xfId="1" applyNumberFormat="1" applyFont="1" applyFill="1" applyBorder="1" applyProtection="1">
      <protection locked="0"/>
    </xf>
    <xf numFmtId="0" fontId="12" fillId="2" borderId="25" xfId="1" applyFont="1" applyFill="1" applyBorder="1" applyAlignment="1" applyProtection="1">
      <alignment horizontal="right"/>
      <protection locked="0"/>
    </xf>
    <xf numFmtId="0" fontId="12" fillId="2" borderId="25" xfId="1" applyFont="1" applyFill="1" applyBorder="1" applyAlignment="1" applyProtection="1">
      <alignment horizontal="left" vertical="center"/>
      <protection locked="0"/>
    </xf>
    <xf numFmtId="164" fontId="12" fillId="2" borderId="25" xfId="1" applyNumberFormat="1" applyFont="1" applyFill="1" applyBorder="1" applyProtection="1">
      <protection locked="0"/>
    </xf>
    <xf numFmtId="0" fontId="12" fillId="2" borderId="54" xfId="1" applyFont="1" applyFill="1" applyBorder="1" applyProtection="1">
      <protection locked="0"/>
    </xf>
    <xf numFmtId="0" fontId="12" fillId="2" borderId="0" xfId="1" applyFont="1" applyFill="1" applyProtection="1">
      <protection locked="0"/>
    </xf>
    <xf numFmtId="0" fontId="12" fillId="2" borderId="50" xfId="1" applyFont="1" applyFill="1" applyBorder="1" applyProtection="1">
      <protection locked="0"/>
    </xf>
    <xf numFmtId="0" fontId="14" fillId="2" borderId="18" xfId="1" applyFont="1" applyFill="1" applyBorder="1"/>
    <xf numFmtId="0" fontId="12" fillId="2" borderId="18" xfId="1" applyFont="1" applyFill="1" applyBorder="1" applyAlignment="1">
      <alignment horizontal="center"/>
    </xf>
    <xf numFmtId="0" fontId="12" fillId="2" borderId="18" xfId="1" applyFont="1" applyFill="1" applyBorder="1"/>
    <xf numFmtId="0" fontId="12" fillId="2" borderId="18" xfId="1" applyFont="1" applyFill="1" applyBorder="1" applyProtection="1">
      <protection locked="0"/>
    </xf>
    <xf numFmtId="0" fontId="12" fillId="2" borderId="18" xfId="1" applyFont="1" applyFill="1" applyBorder="1" applyAlignment="1" applyProtection="1">
      <alignment horizontal="center"/>
      <protection locked="0"/>
    </xf>
    <xf numFmtId="0" fontId="15" fillId="2" borderId="18" xfId="1" applyFont="1" applyFill="1" applyBorder="1" applyAlignment="1" applyProtection="1">
      <alignment vertical="center" wrapText="1"/>
      <protection locked="0"/>
    </xf>
    <xf numFmtId="0" fontId="15" fillId="2" borderId="19" xfId="1" applyFont="1" applyFill="1" applyBorder="1" applyAlignment="1" applyProtection="1">
      <alignment vertical="center" wrapText="1"/>
      <protection locked="0"/>
    </xf>
    <xf numFmtId="0" fontId="12" fillId="0" borderId="44" xfId="1" applyFont="1" applyBorder="1" applyAlignment="1" applyProtection="1">
      <alignment horizontal="center" vertical="center"/>
      <protection locked="0"/>
    </xf>
    <xf numFmtId="165" fontId="12" fillId="0" borderId="17" xfId="1" applyNumberFormat="1" applyFont="1" applyBorder="1" applyProtection="1">
      <protection locked="0"/>
    </xf>
    <xf numFmtId="0" fontId="12" fillId="0" borderId="18" xfId="1" applyFont="1" applyBorder="1" applyProtection="1">
      <protection locked="0"/>
    </xf>
    <xf numFmtId="164" fontId="12" fillId="0" borderId="18" xfId="1" applyNumberFormat="1" applyFont="1" applyBorder="1" applyProtection="1">
      <protection locked="0"/>
    </xf>
    <xf numFmtId="0" fontId="12" fillId="0" borderId="51" xfId="1" applyFont="1" applyBorder="1" applyProtection="1">
      <protection locked="0"/>
    </xf>
    <xf numFmtId="1" fontId="14" fillId="2" borderId="7" xfId="1" applyNumberFormat="1" applyFont="1" applyFill="1" applyBorder="1"/>
    <xf numFmtId="0" fontId="14" fillId="2" borderId="0" xfId="1" applyFont="1" applyFill="1"/>
    <xf numFmtId="0" fontId="12" fillId="2" borderId="0" xfId="1" applyFont="1" applyFill="1" applyAlignment="1">
      <alignment horizontal="center"/>
    </xf>
    <xf numFmtId="0" fontId="12" fillId="2" borderId="0" xfId="1" applyFont="1" applyFill="1"/>
    <xf numFmtId="0" fontId="12" fillId="2" borderId="0" xfId="1" applyFont="1" applyFill="1" applyAlignment="1" applyProtection="1">
      <alignment horizontal="center"/>
      <protection locked="0"/>
    </xf>
    <xf numFmtId="0" fontId="15" fillId="2" borderId="0" xfId="1" applyFont="1" applyFill="1" applyAlignment="1" applyProtection="1">
      <alignment vertical="center" wrapText="1"/>
      <protection locked="0"/>
    </xf>
    <xf numFmtId="0" fontId="15" fillId="2" borderId="52" xfId="1" applyFont="1" applyFill="1" applyBorder="1" applyAlignment="1" applyProtection="1">
      <alignment vertical="center" wrapText="1"/>
      <protection locked="0"/>
    </xf>
    <xf numFmtId="0" fontId="12" fillId="0" borderId="38" xfId="1" applyFont="1" applyBorder="1" applyAlignment="1" applyProtection="1">
      <alignment horizontal="center" vertical="center"/>
      <protection locked="0"/>
    </xf>
    <xf numFmtId="165" fontId="12" fillId="0" borderId="22" xfId="1" applyNumberFormat="1" applyFont="1" applyBorder="1" applyAlignment="1" applyProtection="1">
      <alignment vertical="center"/>
      <protection locked="0"/>
    </xf>
    <xf numFmtId="0" fontId="12" fillId="0" borderId="25" xfId="1" applyFont="1" applyBorder="1" applyProtection="1">
      <protection locked="0"/>
    </xf>
    <xf numFmtId="164" fontId="12" fillId="0" borderId="25" xfId="1" applyNumberFormat="1" applyFont="1" applyBorder="1" applyProtection="1">
      <protection locked="0"/>
    </xf>
    <xf numFmtId="0" fontId="12" fillId="0" borderId="54" xfId="1" applyFont="1" applyBorder="1" applyProtection="1">
      <protection locked="0"/>
    </xf>
    <xf numFmtId="1" fontId="12" fillId="0" borderId="5" xfId="1" applyNumberFormat="1" applyFont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165" fontId="12" fillId="2" borderId="9" xfId="1" applyNumberFormat="1" applyFont="1" applyFill="1" applyBorder="1" applyAlignment="1" applyProtection="1">
      <alignment vertical="center"/>
      <protection locked="0"/>
    </xf>
    <xf numFmtId="165" fontId="12" fillId="2" borderId="10" xfId="1" applyNumberFormat="1" applyFont="1" applyFill="1" applyBorder="1" applyAlignment="1" applyProtection="1">
      <alignment vertical="center"/>
      <protection locked="0"/>
    </xf>
    <xf numFmtId="165" fontId="12" fillId="2" borderId="9" xfId="1" applyNumberFormat="1" applyFont="1" applyFill="1" applyBorder="1" applyAlignment="1" applyProtection="1">
      <alignment horizontal="center" vertical="center"/>
      <protection locked="0"/>
    </xf>
    <xf numFmtId="165" fontId="12" fillId="2" borderId="10" xfId="1" applyNumberFormat="1" applyFont="1" applyFill="1" applyBorder="1" applyAlignment="1" applyProtection="1">
      <alignment horizontal="center" vertical="center"/>
      <protection locked="0"/>
    </xf>
    <xf numFmtId="165" fontId="12" fillId="2" borderId="11" xfId="1" applyNumberFormat="1" applyFont="1" applyFill="1" applyBorder="1" applyAlignment="1" applyProtection="1">
      <alignment horizontal="center" vertical="center"/>
      <protection locked="0"/>
    </xf>
    <xf numFmtId="164" fontId="12" fillId="2" borderId="5" xfId="1" applyNumberFormat="1" applyFont="1" applyFill="1" applyBorder="1" applyAlignment="1" applyProtection="1">
      <alignment horizontal="center" vertical="center"/>
      <protection locked="0"/>
    </xf>
    <xf numFmtId="164" fontId="12" fillId="2" borderId="6" xfId="1" applyNumberFormat="1" applyFont="1" applyFill="1" applyBorder="1" applyAlignment="1" applyProtection="1">
      <alignment horizontal="center" vertical="center"/>
      <protection locked="0"/>
    </xf>
    <xf numFmtId="1" fontId="14" fillId="2" borderId="7" xfId="1" applyNumberFormat="1" applyFont="1" applyFill="1" applyBorder="1" applyProtection="1">
      <protection locked="0"/>
    </xf>
    <xf numFmtId="0" fontId="14" fillId="2" borderId="0" xfId="1" applyFont="1" applyFill="1" applyProtection="1">
      <protection locked="0"/>
    </xf>
    <xf numFmtId="0" fontId="12" fillId="2" borderId="14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6" xfId="1" applyFont="1" applyFill="1" applyBorder="1" applyAlignment="1">
      <alignment horizontal="center" vertical="center"/>
    </xf>
    <xf numFmtId="1" fontId="13" fillId="2" borderId="17" xfId="1" applyNumberFormat="1" applyFont="1" applyFill="1" applyBorder="1" applyAlignment="1" applyProtection="1">
      <alignment horizontal="center" vertical="center"/>
      <protection locked="0"/>
    </xf>
    <xf numFmtId="1" fontId="13" fillId="2" borderId="18" xfId="1" applyNumberFormat="1" applyFont="1" applyFill="1" applyBorder="1" applyAlignment="1" applyProtection="1">
      <alignment horizontal="center" vertical="center"/>
      <protection locked="0"/>
    </xf>
    <xf numFmtId="1" fontId="13" fillId="2" borderId="19" xfId="1" applyNumberFormat="1" applyFont="1" applyFill="1" applyBorder="1" applyAlignment="1" applyProtection="1">
      <alignment horizontal="center" vertical="center"/>
      <protection locked="0"/>
    </xf>
    <xf numFmtId="1" fontId="16" fillId="2" borderId="17" xfId="1" applyNumberFormat="1" applyFont="1" applyFill="1" applyBorder="1" applyAlignment="1" applyProtection="1">
      <alignment horizontal="center" vertical="center"/>
      <protection locked="0"/>
    </xf>
    <xf numFmtId="164" fontId="12" fillId="2" borderId="51" xfId="1" applyNumberFormat="1" applyFont="1" applyFill="1" applyBorder="1" applyAlignment="1" applyProtection="1">
      <alignment horizontal="center" vertical="center"/>
      <protection locked="0"/>
    </xf>
    <xf numFmtId="1" fontId="14" fillId="2" borderId="58" xfId="1" applyNumberFormat="1" applyFont="1" applyFill="1" applyBorder="1"/>
    <xf numFmtId="165" fontId="14" fillId="2" borderId="59" xfId="1" applyNumberFormat="1" applyFont="1" applyFill="1" applyBorder="1"/>
    <xf numFmtId="165" fontId="17" fillId="2" borderId="59" xfId="1" applyNumberFormat="1" applyFont="1" applyFill="1" applyBorder="1"/>
    <xf numFmtId="165" fontId="12" fillId="2" borderId="59" xfId="1" applyNumberFormat="1" applyFont="1" applyFill="1" applyBorder="1" applyAlignment="1">
      <alignment horizontal="center"/>
    </xf>
    <xf numFmtId="165" fontId="12" fillId="2" borderId="59" xfId="1" applyNumberFormat="1" applyFont="1" applyFill="1" applyBorder="1" applyAlignment="1">
      <alignment horizontal="center"/>
    </xf>
    <xf numFmtId="165" fontId="12" fillId="2" borderId="59" xfId="1" applyNumberFormat="1" applyFont="1" applyFill="1" applyBorder="1"/>
    <xf numFmtId="0" fontId="15" fillId="2" borderId="59" xfId="1" applyFont="1" applyFill="1" applyBorder="1" applyAlignment="1" applyProtection="1">
      <alignment vertical="center" wrapText="1"/>
      <protection locked="0"/>
    </xf>
    <xf numFmtId="0" fontId="15" fillId="2" borderId="60" xfId="1" applyFont="1" applyFill="1" applyBorder="1" applyAlignment="1" applyProtection="1">
      <alignment vertical="center" wrapText="1"/>
      <protection locked="0"/>
    </xf>
    <xf numFmtId="1" fontId="12" fillId="0" borderId="61" xfId="1" applyNumberFormat="1" applyFont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>
      <alignment horizontal="center" vertical="center"/>
    </xf>
    <xf numFmtId="0" fontId="12" fillId="2" borderId="63" xfId="1" applyFont="1" applyFill="1" applyBorder="1" applyAlignment="1">
      <alignment horizontal="center" vertical="center"/>
    </xf>
    <xf numFmtId="0" fontId="12" fillId="2" borderId="64" xfId="1" applyFont="1" applyFill="1" applyBorder="1" applyAlignment="1">
      <alignment horizontal="center" vertical="center"/>
    </xf>
    <xf numFmtId="0" fontId="13" fillId="2" borderId="62" xfId="1" applyFont="1" applyFill="1" applyBorder="1" applyAlignment="1" applyProtection="1">
      <alignment horizontal="center" vertical="center" wrapText="1"/>
      <protection locked="0"/>
    </xf>
    <xf numFmtId="0" fontId="13" fillId="2" borderId="63" xfId="1" applyFont="1" applyFill="1" applyBorder="1" applyAlignment="1" applyProtection="1">
      <alignment horizontal="center" vertical="center"/>
      <protection locked="0"/>
    </xf>
    <xf numFmtId="0" fontId="13" fillId="2" borderId="64" xfId="1" applyFont="1" applyFill="1" applyBorder="1" applyAlignment="1" applyProtection="1">
      <alignment horizontal="center" vertical="center"/>
      <protection locked="0"/>
    </xf>
    <xf numFmtId="0" fontId="13" fillId="2" borderId="62" xfId="1" applyFont="1" applyFill="1" applyBorder="1" applyAlignment="1" applyProtection="1">
      <alignment horizontal="center" vertical="center"/>
      <protection locked="0"/>
    </xf>
    <xf numFmtId="1" fontId="16" fillId="2" borderId="65" xfId="1" applyNumberFormat="1" applyFont="1" applyFill="1" applyBorder="1" applyAlignment="1" applyProtection="1">
      <alignment horizontal="center" vertical="center"/>
      <protection locked="0"/>
    </xf>
    <xf numFmtId="164" fontId="12" fillId="2" borderId="66" xfId="1" applyNumberFormat="1" applyFont="1" applyFill="1" applyBorder="1" applyAlignment="1" applyProtection="1">
      <alignment horizontal="center" vertical="center"/>
      <protection locked="0"/>
    </xf>
    <xf numFmtId="1" fontId="17" fillId="2" borderId="0" xfId="1" applyNumberFormat="1" applyFont="1" applyFill="1"/>
    <xf numFmtId="165" fontId="17" fillId="2" borderId="0" xfId="1" applyNumberFormat="1" applyFont="1" applyFill="1"/>
    <xf numFmtId="165" fontId="12" fillId="2" borderId="0" xfId="1" applyNumberFormat="1" applyFont="1" applyFill="1" applyAlignment="1">
      <alignment horizontal="center"/>
    </xf>
    <xf numFmtId="165" fontId="12" fillId="2" borderId="0" xfId="1" applyNumberFormat="1" applyFont="1" applyFill="1"/>
    <xf numFmtId="165" fontId="12" fillId="0" borderId="0" xfId="1" applyNumberFormat="1" applyFont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164" fontId="12" fillId="0" borderId="0" xfId="1" applyNumberFormat="1" applyFont="1" applyAlignment="1" applyProtection="1">
      <alignment horizontal="center" vertical="center"/>
      <protection locked="0"/>
    </xf>
    <xf numFmtId="1" fontId="3" fillId="2" borderId="0" xfId="1" applyNumberFormat="1" applyFont="1" applyFill="1"/>
    <xf numFmtId="0" fontId="3" fillId="2" borderId="0" xfId="1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 applyProtection="1">
      <protection locked="0"/>
    </xf>
    <xf numFmtId="165" fontId="3" fillId="2" borderId="0" xfId="1" applyNumberFormat="1" applyFont="1" applyFill="1"/>
    <xf numFmtId="164" fontId="6" fillId="0" borderId="0" xfId="2" applyNumberFormat="1" applyFont="1" applyAlignment="1"/>
  </cellXfs>
  <cellStyles count="9">
    <cellStyle name="Normal" xfId="0" builtinId="0"/>
    <cellStyle name="Normal 2 4" xfId="1"/>
    <cellStyle name="Normal 2 7" xfId="7"/>
    <cellStyle name="Normal 7 2 4 2 3 2 3 3 2" xfId="8"/>
    <cellStyle name="Normal 7 2 4 2 3 3 3 3 2" xfId="5"/>
    <cellStyle name="Normal 7 2 4 2 3 5 3 2" xfId="3"/>
    <cellStyle name="Normal 7 2 5 2 3 2 3 3 2" xfId="6"/>
    <cellStyle name="Normal 7 2 5 2 3 3 2 2 3 2" xfId="4"/>
    <cellStyle name="Normal 7 2 5 2 3 3 2 2 4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235854</xdr:colOff>
      <xdr:row>35</xdr:row>
      <xdr:rowOff>122462</xdr:rowOff>
    </xdr:from>
    <xdr:ext cx="14236373" cy="125911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854" y="9416141"/>
          <a:ext cx="14236373" cy="125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on\STR\3.Production%20Plan\1.Plan%20process%20new\01.Plan%20process\2017\07-Jul-2017\Plan%20PTCA%20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3.40\Production\Common\STR\3.Production%20Plan\1.Plan%20process%20new\01.Plan%20process\2017\07-Jul-2017\Plan%20PTCA%200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3.40\Original%20Data\Production\Common\STR\3.Production%20Plan\1.Plan%20process%20new\01.Plan%20process\2017\07-Jul-2017\Plan%20PTCA%20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 PTCA"/>
      <sheetName val="1.04- LABEL"/>
      <sheetName val="Label"/>
      <sheetName val="Sheet3"/>
      <sheetName val="Seal new"/>
      <sheetName val="Seal Plan"/>
      <sheetName val="PLAN UH"/>
      <sheetName val="Sheet2"/>
      <sheetName val="Sheet1"/>
      <sheetName val="MACHINE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 PTCA"/>
      <sheetName val="1.04- LABEL"/>
      <sheetName val="Label"/>
      <sheetName val="Sheet3"/>
      <sheetName val="Seal new"/>
      <sheetName val="Seal Plan"/>
      <sheetName val="PLAN UH"/>
      <sheetName val="Sheet2"/>
      <sheetName val="Sheet1"/>
      <sheetName val="MACHINE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 PTCA"/>
      <sheetName val="1.04- LABEL"/>
      <sheetName val="Label"/>
      <sheetName val="Sheet3"/>
      <sheetName val="Seal new"/>
      <sheetName val="Seal Plan"/>
      <sheetName val="PLAN UH"/>
      <sheetName val="Sheet2"/>
      <sheetName val="Sheet1"/>
      <sheetName val="MACHINE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T49"/>
  <sheetViews>
    <sheetView showGridLines="0" tabSelected="1" view="pageBreakPreview" zoomScale="70" zoomScaleNormal="70" zoomScaleSheetLayoutView="70" workbookViewId="0">
      <selection activeCell="AT20" sqref="AT20"/>
    </sheetView>
  </sheetViews>
  <sheetFormatPr defaultColWidth="6.28515625" defaultRowHeight="15"/>
  <cols>
    <col min="1" max="1" width="3.5703125" style="5" customWidth="1"/>
    <col min="2" max="2" width="6.85546875" style="5" customWidth="1"/>
    <col min="3" max="3" width="5.5703125" style="5" customWidth="1"/>
    <col min="4" max="4" width="5.28515625" style="5" customWidth="1"/>
    <col min="5" max="5" width="12.7109375" style="5" customWidth="1"/>
    <col min="6" max="6" width="8.28515625" style="5" customWidth="1"/>
    <col min="7" max="7" width="8" style="5" customWidth="1"/>
    <col min="8" max="8" width="10.28515625" style="5" customWidth="1"/>
    <col min="9" max="9" width="10.42578125" style="5" customWidth="1"/>
    <col min="10" max="10" width="9.28515625" style="5" customWidth="1"/>
    <col min="11" max="11" width="4.5703125" style="5" customWidth="1"/>
    <col min="12" max="12" width="5.7109375" style="5" customWidth="1"/>
    <col min="13" max="16" width="7.5703125" style="5" customWidth="1"/>
    <col min="17" max="17" width="9.7109375" style="5" customWidth="1"/>
    <col min="18" max="19" width="5.42578125" style="5" customWidth="1"/>
    <col min="20" max="20" width="6.28515625" style="5" customWidth="1"/>
    <col min="21" max="21" width="6.42578125" style="5" customWidth="1"/>
    <col min="22" max="23" width="6.85546875" style="5" customWidth="1"/>
    <col min="24" max="24" width="5.42578125" style="5" customWidth="1"/>
    <col min="25" max="25" width="7.7109375" style="5" customWidth="1"/>
    <col min="26" max="26" width="9.28515625" style="5" customWidth="1"/>
    <col min="27" max="31" width="5.42578125" style="5" customWidth="1"/>
    <col min="32" max="32" width="9.28515625" style="5" customWidth="1"/>
    <col min="33" max="34" width="5.7109375" style="5" customWidth="1"/>
    <col min="35" max="35" width="4.85546875" style="5" customWidth="1"/>
    <col min="36" max="36" width="6.28515625" style="5" customWidth="1"/>
    <col min="37" max="37" width="6.28515625" style="6" customWidth="1"/>
    <col min="38" max="38" width="6.28515625" style="6"/>
    <col min="39" max="16384" width="6.28515625" style="5"/>
  </cols>
  <sheetData>
    <row r="1" spans="1:46" ht="20.100000000000001" customHeight="1">
      <c r="A1" s="1" t="s">
        <v>0</v>
      </c>
      <c r="B1" s="2"/>
      <c r="C1" s="2"/>
      <c r="D1" s="2"/>
      <c r="E1" s="3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2" t="s">
        <v>2</v>
      </c>
      <c r="AG1" s="2"/>
      <c r="AH1" s="2"/>
      <c r="AI1" s="4"/>
    </row>
    <row r="2" spans="1:46" ht="20.100000000000001" customHeight="1">
      <c r="A2" s="7" t="s">
        <v>3</v>
      </c>
      <c r="B2" s="8"/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10" t="s">
        <v>4</v>
      </c>
      <c r="AG2" s="10"/>
      <c r="AH2" s="10"/>
      <c r="AI2" s="11"/>
      <c r="AM2" s="6"/>
      <c r="AN2" s="6"/>
      <c r="AO2" s="6"/>
      <c r="AP2" s="6"/>
      <c r="AQ2" s="6"/>
      <c r="AR2" s="6"/>
      <c r="AS2" s="6"/>
      <c r="AT2" s="6"/>
    </row>
    <row r="3" spans="1:46" ht="5.25" customHeight="1">
      <c r="A3" s="12"/>
      <c r="AI3" s="13"/>
      <c r="AN3" s="6"/>
      <c r="AP3" s="6"/>
    </row>
    <row r="4" spans="1:46" s="24" customFormat="1" ht="30.6" customHeight="1">
      <c r="A4" s="14" t="s">
        <v>5</v>
      </c>
      <c r="B4" s="15"/>
      <c r="C4" s="16"/>
      <c r="D4" s="17"/>
      <c r="E4" s="18" t="s">
        <v>6</v>
      </c>
      <c r="F4" s="19"/>
      <c r="G4" s="20" t="s">
        <v>7</v>
      </c>
      <c r="H4" s="21"/>
      <c r="I4" s="21"/>
      <c r="J4" s="21"/>
      <c r="K4" s="21"/>
      <c r="L4" s="21"/>
      <c r="M4" s="21"/>
      <c r="N4" s="22"/>
      <c r="O4" s="20" t="s">
        <v>8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3"/>
      <c r="AK4" s="25"/>
      <c r="AL4" s="25"/>
      <c r="AN4" s="6"/>
      <c r="AP4" s="6"/>
    </row>
    <row r="5" spans="1:46" s="24" customFormat="1" ht="40.15" customHeight="1">
      <c r="A5" s="26" t="s">
        <v>9</v>
      </c>
      <c r="B5" s="27"/>
      <c r="C5" s="28"/>
      <c r="D5" s="29"/>
      <c r="E5" s="30"/>
      <c r="F5" s="31"/>
      <c r="G5" s="32" t="s">
        <v>10</v>
      </c>
      <c r="H5" s="33"/>
      <c r="I5" s="34" t="s">
        <v>11</v>
      </c>
      <c r="J5" s="35"/>
      <c r="K5" s="32" t="s">
        <v>12</v>
      </c>
      <c r="L5" s="36"/>
      <c r="M5" s="37" t="s">
        <v>13</v>
      </c>
      <c r="N5" s="38"/>
      <c r="O5" s="37" t="s">
        <v>14</v>
      </c>
      <c r="P5" s="38"/>
      <c r="Q5" s="39" t="s">
        <v>15</v>
      </c>
      <c r="R5" s="40"/>
      <c r="S5" s="41"/>
      <c r="T5" s="37" t="s">
        <v>16</v>
      </c>
      <c r="U5" s="42"/>
      <c r="V5" s="42"/>
      <c r="W5" s="38"/>
      <c r="X5" s="27" t="s">
        <v>17</v>
      </c>
      <c r="Z5" s="43"/>
      <c r="AA5" s="44"/>
      <c r="AB5" s="44" t="s">
        <v>18</v>
      </c>
      <c r="AC5" s="45"/>
      <c r="AD5" s="45"/>
      <c r="AE5" s="46" t="s">
        <v>19</v>
      </c>
      <c r="AF5" s="47"/>
      <c r="AG5" s="47"/>
      <c r="AH5" s="37" t="s">
        <v>20</v>
      </c>
      <c r="AI5" s="48"/>
      <c r="AK5" s="25"/>
      <c r="AL5" s="25"/>
      <c r="AN5" s="6"/>
      <c r="AP5" s="6"/>
    </row>
    <row r="6" spans="1:46" s="24" customFormat="1" ht="40.15" customHeight="1">
      <c r="A6" s="49" t="s">
        <v>21</v>
      </c>
      <c r="B6" s="50"/>
      <c r="C6" s="51"/>
      <c r="D6" s="52"/>
      <c r="E6" s="53"/>
      <c r="F6" s="54"/>
      <c r="G6" s="55"/>
      <c r="H6" s="56"/>
      <c r="I6" s="57" t="str">
        <f>IF(AND(COUNTIF(AJ11:AJ41,"TE")&gt;0,COUNTIF(AJ11:AJ41,"EN")&gt;0),"Type E;Tornus ES;Endoligar",IF(COUNTIF(AJ11:AJ41,"EN")&gt;0,"Type E; Endoligar",IF(COUNTIF(AJ11:AJ41,"TE")&gt;0,"Type E; Tornus ES","Type E")))</f>
        <v>Type E</v>
      </c>
      <c r="J6" s="58"/>
      <c r="K6" s="59"/>
      <c r="L6" s="60"/>
      <c r="M6" s="59"/>
      <c r="N6" s="60"/>
      <c r="O6" s="61"/>
      <c r="P6" s="62"/>
      <c r="Q6" s="63"/>
      <c r="R6" s="64"/>
      <c r="S6" s="65"/>
      <c r="T6" s="66"/>
      <c r="U6" s="67"/>
      <c r="V6" s="68"/>
      <c r="W6" s="69"/>
      <c r="X6" s="70" t="s">
        <v>22</v>
      </c>
      <c r="Y6" s="71"/>
      <c r="Z6" s="71"/>
      <c r="AA6" s="71"/>
      <c r="AB6" s="71" t="s">
        <v>18</v>
      </c>
      <c r="AC6" s="71"/>
      <c r="AD6" s="71"/>
      <c r="AE6" s="72" t="s">
        <v>23</v>
      </c>
      <c r="AF6" s="73"/>
      <c r="AG6" s="73"/>
      <c r="AH6" s="72"/>
      <c r="AI6" s="74"/>
      <c r="AK6" s="25"/>
      <c r="AL6" s="25"/>
      <c r="AN6" s="6"/>
      <c r="AP6" s="6"/>
    </row>
    <row r="7" spans="1:46" ht="3.75" customHeight="1" thickBot="1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7"/>
      <c r="V7" s="77"/>
      <c r="W7" s="77"/>
      <c r="X7" s="77"/>
      <c r="Y7" s="77"/>
      <c r="Z7" s="77"/>
      <c r="AA7" s="77"/>
      <c r="AB7" s="76"/>
      <c r="AC7" s="76"/>
      <c r="AD7" s="76"/>
      <c r="AE7" s="76"/>
      <c r="AI7" s="13"/>
      <c r="AN7" s="6"/>
      <c r="AP7" s="6"/>
    </row>
    <row r="8" spans="1:46" s="100" customFormat="1" ht="25.5" customHeight="1" thickTop="1">
      <c r="A8" s="78" t="s">
        <v>24</v>
      </c>
      <c r="B8" s="79"/>
      <c r="C8" s="79"/>
      <c r="D8" s="79"/>
      <c r="E8" s="80"/>
      <c r="F8" s="81" t="s">
        <v>25</v>
      </c>
      <c r="G8" s="82"/>
      <c r="H8" s="83"/>
      <c r="I8" s="84" t="s">
        <v>26</v>
      </c>
      <c r="J8" s="85"/>
      <c r="K8" s="86" t="s">
        <v>27</v>
      </c>
      <c r="L8" s="87"/>
      <c r="M8" s="88"/>
      <c r="N8" s="89"/>
      <c r="O8" s="86" t="s">
        <v>28</v>
      </c>
      <c r="P8" s="87"/>
      <c r="Q8" s="90"/>
      <c r="R8" s="91" t="s">
        <v>29</v>
      </c>
      <c r="S8" s="92"/>
      <c r="T8" s="92"/>
      <c r="U8" s="93"/>
      <c r="V8" s="91" t="s">
        <v>30</v>
      </c>
      <c r="W8" s="92"/>
      <c r="X8" s="94"/>
      <c r="Y8" s="94"/>
      <c r="Z8" s="95" t="s">
        <v>31</v>
      </c>
      <c r="AA8" s="94"/>
      <c r="AB8" s="94"/>
      <c r="AC8" s="96"/>
      <c r="AD8" s="97" t="s">
        <v>32</v>
      </c>
      <c r="AE8" s="97"/>
      <c r="AF8" s="97"/>
      <c r="AG8" s="97"/>
      <c r="AH8" s="98"/>
      <c r="AI8" s="99"/>
      <c r="AK8" s="101"/>
      <c r="AL8" s="102"/>
    </row>
    <row r="9" spans="1:46" ht="28.5" customHeight="1">
      <c r="A9" s="103" t="s">
        <v>33</v>
      </c>
      <c r="B9" s="104" t="s">
        <v>34</v>
      </c>
      <c r="C9" s="105"/>
      <c r="D9" s="105"/>
      <c r="E9" s="105"/>
      <c r="F9" s="105"/>
      <c r="G9" s="105"/>
      <c r="H9" s="105"/>
      <c r="I9" s="105"/>
      <c r="J9" s="105"/>
      <c r="K9" s="105"/>
      <c r="L9" s="106"/>
      <c r="M9" s="107" t="s">
        <v>35</v>
      </c>
      <c r="N9" s="108"/>
      <c r="O9" s="108"/>
      <c r="P9" s="109"/>
      <c r="Q9" s="110" t="s">
        <v>36</v>
      </c>
      <c r="R9" s="107" t="s">
        <v>37</v>
      </c>
      <c r="S9" s="108"/>
      <c r="T9" s="109"/>
      <c r="U9" s="104" t="s">
        <v>38</v>
      </c>
      <c r="V9" s="106"/>
      <c r="W9" s="107" t="s">
        <v>39</v>
      </c>
      <c r="X9" s="108"/>
      <c r="Y9" s="109"/>
      <c r="Z9" s="111" t="s">
        <v>40</v>
      </c>
      <c r="AA9" s="112" t="s">
        <v>41</v>
      </c>
      <c r="AB9" s="112"/>
      <c r="AC9" s="113"/>
      <c r="AD9" s="114" t="s">
        <v>42</v>
      </c>
      <c r="AE9" s="114"/>
      <c r="AF9" s="115" t="s">
        <v>43</v>
      </c>
      <c r="AG9" s="107" t="s">
        <v>44</v>
      </c>
      <c r="AH9" s="108"/>
      <c r="AI9" s="116"/>
      <c r="AN9" s="6"/>
      <c r="AP9" s="6"/>
    </row>
    <row r="10" spans="1:46" ht="75">
      <c r="A10" s="103"/>
      <c r="B10" s="111" t="s">
        <v>45</v>
      </c>
      <c r="C10" s="117" t="s">
        <v>46</v>
      </c>
      <c r="D10" s="117"/>
      <c r="E10" s="118" t="s">
        <v>47</v>
      </c>
      <c r="F10" s="119" t="s">
        <v>48</v>
      </c>
      <c r="G10" s="120"/>
      <c r="H10" s="121" t="s">
        <v>49</v>
      </c>
      <c r="I10" s="122" t="s">
        <v>50</v>
      </c>
      <c r="J10" s="104" t="s">
        <v>51</v>
      </c>
      <c r="K10" s="106"/>
      <c r="L10" s="111" t="s">
        <v>52</v>
      </c>
      <c r="M10" s="123" t="s">
        <v>53</v>
      </c>
      <c r="N10" s="123" t="s">
        <v>54</v>
      </c>
      <c r="O10" s="123" t="s">
        <v>55</v>
      </c>
      <c r="P10" s="123" t="s">
        <v>56</v>
      </c>
      <c r="Q10" s="110" t="s">
        <v>57</v>
      </c>
      <c r="R10" s="124" t="s">
        <v>58</v>
      </c>
      <c r="S10" s="124" t="s">
        <v>59</v>
      </c>
      <c r="T10" s="125" t="s">
        <v>60</v>
      </c>
      <c r="U10" s="126" t="s">
        <v>61</v>
      </c>
      <c r="V10" s="111" t="s">
        <v>62</v>
      </c>
      <c r="W10" s="111" t="s">
        <v>61</v>
      </c>
      <c r="X10" s="111" t="s">
        <v>63</v>
      </c>
      <c r="Y10" s="111" t="s">
        <v>64</v>
      </c>
      <c r="Z10" s="111" t="s">
        <v>57</v>
      </c>
      <c r="AA10" s="111" t="s">
        <v>57</v>
      </c>
      <c r="AB10" s="124" t="s">
        <v>65</v>
      </c>
      <c r="AC10" s="111" t="s">
        <v>66</v>
      </c>
      <c r="AD10" s="114"/>
      <c r="AE10" s="114"/>
      <c r="AF10" s="115"/>
      <c r="AG10" s="124" t="s">
        <v>67</v>
      </c>
      <c r="AH10" s="108" t="s">
        <v>68</v>
      </c>
      <c r="AI10" s="116"/>
      <c r="AN10" s="6"/>
      <c r="AP10" s="6"/>
    </row>
    <row r="11" spans="1:46" s="100" customFormat="1" ht="17.649999999999999" customHeight="1">
      <c r="A11" s="127"/>
      <c r="B11" s="128"/>
      <c r="C11" s="129"/>
      <c r="D11" s="130"/>
      <c r="E11" s="128"/>
      <c r="F11" s="129"/>
      <c r="G11" s="130"/>
      <c r="H11" s="128"/>
      <c r="I11" s="131"/>
      <c r="J11" s="129"/>
      <c r="K11" s="130"/>
      <c r="L11" s="132"/>
      <c r="M11" s="128"/>
      <c r="N11" s="128"/>
      <c r="O11" s="128"/>
      <c r="P11" s="128"/>
      <c r="Q11" s="128"/>
      <c r="R11" s="133"/>
      <c r="S11" s="134"/>
      <c r="T11" s="135"/>
      <c r="U11" s="136"/>
      <c r="V11" s="137"/>
      <c r="W11" s="138"/>
      <c r="X11" s="138"/>
      <c r="Y11" s="139"/>
      <c r="Z11" s="140"/>
      <c r="AA11" s="141"/>
      <c r="AB11" s="142"/>
      <c r="AC11" s="128"/>
      <c r="AD11" s="143"/>
      <c r="AE11" s="144"/>
      <c r="AF11" s="128"/>
      <c r="AG11" s="145"/>
      <c r="AH11" s="146"/>
      <c r="AI11" s="147"/>
      <c r="AJ11" s="100" t="str">
        <f>LEFT(F11,2)</f>
        <v/>
      </c>
      <c r="AL11" s="102"/>
      <c r="AP11" s="6"/>
    </row>
    <row r="12" spans="1:46" s="100" customFormat="1" ht="17.649999999999999" customHeight="1">
      <c r="A12" s="148"/>
      <c r="B12" s="128"/>
      <c r="C12" s="129"/>
      <c r="D12" s="130"/>
      <c r="E12" s="128"/>
      <c r="F12" s="129"/>
      <c r="G12" s="130"/>
      <c r="H12" s="128"/>
      <c r="I12" s="131"/>
      <c r="J12" s="129"/>
      <c r="K12" s="130"/>
      <c r="L12" s="132"/>
      <c r="M12" s="128"/>
      <c r="N12" s="128"/>
      <c r="O12" s="128"/>
      <c r="P12" s="128"/>
      <c r="Q12" s="128"/>
      <c r="R12" s="133"/>
      <c r="S12" s="134"/>
      <c r="T12" s="135"/>
      <c r="U12" s="136"/>
      <c r="V12" s="137"/>
      <c r="W12" s="138"/>
      <c r="X12" s="138"/>
      <c r="Y12" s="139"/>
      <c r="Z12" s="140"/>
      <c r="AA12" s="141"/>
      <c r="AB12" s="149"/>
      <c r="AC12" s="128"/>
      <c r="AD12" s="143"/>
      <c r="AE12" s="144"/>
      <c r="AF12" s="128"/>
      <c r="AG12" s="145"/>
      <c r="AH12" s="146"/>
      <c r="AI12" s="147"/>
      <c r="AJ12" s="100" t="str">
        <f t="shared" ref="AJ12:AJ30" si="0">LEFT(F12,2)</f>
        <v/>
      </c>
      <c r="AK12" s="101"/>
      <c r="AL12" s="102"/>
      <c r="AP12" s="6"/>
    </row>
    <row r="13" spans="1:46" s="100" customFormat="1" ht="17.649999999999999" customHeight="1">
      <c r="A13" s="148"/>
      <c r="B13" s="128"/>
      <c r="C13" s="129"/>
      <c r="D13" s="130"/>
      <c r="E13" s="128"/>
      <c r="F13" s="129"/>
      <c r="G13" s="130"/>
      <c r="H13" s="128"/>
      <c r="I13" s="131"/>
      <c r="J13" s="129"/>
      <c r="K13" s="130"/>
      <c r="L13" s="132"/>
      <c r="M13" s="128"/>
      <c r="N13" s="128"/>
      <c r="O13" s="128"/>
      <c r="P13" s="128"/>
      <c r="Q13" s="128"/>
      <c r="R13" s="133"/>
      <c r="S13" s="134"/>
      <c r="T13" s="135"/>
      <c r="U13" s="136"/>
      <c r="V13" s="137"/>
      <c r="W13" s="138"/>
      <c r="X13" s="138"/>
      <c r="Y13" s="139"/>
      <c r="Z13" s="140"/>
      <c r="AA13" s="141"/>
      <c r="AB13" s="149"/>
      <c r="AC13" s="128"/>
      <c r="AD13" s="143"/>
      <c r="AE13" s="144"/>
      <c r="AF13" s="128"/>
      <c r="AG13" s="145"/>
      <c r="AH13" s="146"/>
      <c r="AI13" s="147"/>
      <c r="AJ13" s="100" t="str">
        <f t="shared" si="0"/>
        <v/>
      </c>
      <c r="AK13" s="101"/>
      <c r="AL13" s="102"/>
      <c r="AP13" s="6"/>
    </row>
    <row r="14" spans="1:46" s="100" customFormat="1" ht="17.649999999999999" customHeight="1">
      <c r="A14" s="148"/>
      <c r="B14" s="128"/>
      <c r="C14" s="129"/>
      <c r="D14" s="130"/>
      <c r="E14" s="128"/>
      <c r="F14" s="129"/>
      <c r="G14" s="130"/>
      <c r="H14" s="128"/>
      <c r="I14" s="131"/>
      <c r="J14" s="129"/>
      <c r="K14" s="130"/>
      <c r="L14" s="132"/>
      <c r="M14" s="128"/>
      <c r="N14" s="128"/>
      <c r="O14" s="128"/>
      <c r="P14" s="128"/>
      <c r="Q14" s="128"/>
      <c r="R14" s="133"/>
      <c r="S14" s="134"/>
      <c r="T14" s="135"/>
      <c r="U14" s="136"/>
      <c r="V14" s="137"/>
      <c r="W14" s="138"/>
      <c r="X14" s="138"/>
      <c r="Y14" s="139"/>
      <c r="Z14" s="140"/>
      <c r="AA14" s="141"/>
      <c r="AB14" s="149"/>
      <c r="AC14" s="128"/>
      <c r="AD14" s="143"/>
      <c r="AE14" s="144"/>
      <c r="AF14" s="128"/>
      <c r="AG14" s="145"/>
      <c r="AH14" s="146"/>
      <c r="AI14" s="147"/>
      <c r="AJ14" s="100" t="str">
        <f t="shared" si="0"/>
        <v/>
      </c>
      <c r="AK14" s="101"/>
      <c r="AL14" s="102"/>
    </row>
    <row r="15" spans="1:46" s="100" customFormat="1" ht="17.649999999999999" customHeight="1">
      <c r="A15" s="148"/>
      <c r="B15" s="128"/>
      <c r="C15" s="129"/>
      <c r="D15" s="130"/>
      <c r="E15" s="128"/>
      <c r="F15" s="129"/>
      <c r="G15" s="130"/>
      <c r="H15" s="128"/>
      <c r="I15" s="131"/>
      <c r="J15" s="129"/>
      <c r="K15" s="130"/>
      <c r="L15" s="132"/>
      <c r="M15" s="128"/>
      <c r="N15" s="128"/>
      <c r="O15" s="128"/>
      <c r="P15" s="128"/>
      <c r="Q15" s="133"/>
      <c r="R15" s="133"/>
      <c r="S15" s="134"/>
      <c r="T15" s="135"/>
      <c r="U15" s="136"/>
      <c r="V15" s="150"/>
      <c r="W15" s="138"/>
      <c r="X15" s="138"/>
      <c r="Y15" s="139"/>
      <c r="Z15" s="140"/>
      <c r="AA15" s="141"/>
      <c r="AB15" s="128"/>
      <c r="AC15" s="128"/>
      <c r="AD15" s="143"/>
      <c r="AE15" s="144"/>
      <c r="AF15" s="128"/>
      <c r="AG15" s="145"/>
      <c r="AH15" s="146"/>
      <c r="AI15" s="147"/>
      <c r="AJ15" s="100" t="str">
        <f t="shared" si="0"/>
        <v/>
      </c>
      <c r="AK15" s="101"/>
      <c r="AL15" s="102"/>
    </row>
    <row r="16" spans="1:46" s="100" customFormat="1" ht="17.649999999999999" customHeight="1">
      <c r="A16" s="148"/>
      <c r="B16" s="128"/>
      <c r="C16" s="129"/>
      <c r="D16" s="130"/>
      <c r="E16" s="128"/>
      <c r="F16" s="129"/>
      <c r="G16" s="130"/>
      <c r="H16" s="128"/>
      <c r="I16" s="131"/>
      <c r="J16" s="129"/>
      <c r="K16" s="130"/>
      <c r="L16" s="132"/>
      <c r="M16" s="128"/>
      <c r="N16" s="128"/>
      <c r="O16" s="128"/>
      <c r="P16" s="128"/>
      <c r="Q16" s="133"/>
      <c r="R16" s="133"/>
      <c r="S16" s="134"/>
      <c r="T16" s="135"/>
      <c r="U16" s="136"/>
      <c r="V16" s="150"/>
      <c r="W16" s="138"/>
      <c r="X16" s="138"/>
      <c r="Y16" s="139"/>
      <c r="Z16" s="140"/>
      <c r="AA16" s="141"/>
      <c r="AB16" s="128"/>
      <c r="AC16" s="128"/>
      <c r="AD16" s="143"/>
      <c r="AE16" s="144"/>
      <c r="AF16" s="128"/>
      <c r="AG16" s="145"/>
      <c r="AH16" s="146"/>
      <c r="AI16" s="147"/>
      <c r="AJ16" s="100" t="str">
        <f t="shared" si="0"/>
        <v/>
      </c>
      <c r="AK16" s="101"/>
      <c r="AL16" s="102"/>
    </row>
    <row r="17" spans="1:38" s="100" customFormat="1" ht="17.649999999999999" customHeight="1">
      <c r="A17" s="148"/>
      <c r="B17" s="128"/>
      <c r="C17" s="129"/>
      <c r="D17" s="130"/>
      <c r="E17" s="128"/>
      <c r="F17" s="129"/>
      <c r="G17" s="130"/>
      <c r="H17" s="128"/>
      <c r="I17" s="151"/>
      <c r="J17" s="129"/>
      <c r="K17" s="130"/>
      <c r="L17" s="132"/>
      <c r="M17" s="128"/>
      <c r="N17" s="128"/>
      <c r="O17" s="128"/>
      <c r="P17" s="128"/>
      <c r="Q17" s="133"/>
      <c r="R17" s="133"/>
      <c r="S17" s="134"/>
      <c r="T17" s="135"/>
      <c r="U17" s="133"/>
      <c r="V17" s="152"/>
      <c r="W17" s="138"/>
      <c r="X17" s="138"/>
      <c r="Y17" s="139"/>
      <c r="Z17" s="141"/>
      <c r="AA17" s="141"/>
      <c r="AB17" s="128"/>
      <c r="AC17" s="128"/>
      <c r="AD17" s="143"/>
      <c r="AE17" s="144"/>
      <c r="AF17" s="128"/>
      <c r="AG17" s="145"/>
      <c r="AH17" s="146"/>
      <c r="AI17" s="147"/>
      <c r="AJ17" s="100" t="str">
        <f t="shared" si="0"/>
        <v/>
      </c>
      <c r="AK17" s="101"/>
      <c r="AL17" s="102"/>
    </row>
    <row r="18" spans="1:38" s="100" customFormat="1" ht="17.649999999999999" customHeight="1">
      <c r="A18" s="148"/>
      <c r="B18" s="128"/>
      <c r="C18" s="129"/>
      <c r="D18" s="130"/>
      <c r="E18" s="128"/>
      <c r="F18" s="129"/>
      <c r="G18" s="130"/>
      <c r="H18" s="128"/>
      <c r="I18" s="131"/>
      <c r="J18" s="129"/>
      <c r="K18" s="130"/>
      <c r="L18" s="132"/>
      <c r="M18" s="128"/>
      <c r="N18" s="128"/>
      <c r="O18" s="128"/>
      <c r="P18" s="128"/>
      <c r="Q18" s="133"/>
      <c r="R18" s="133"/>
      <c r="S18" s="134"/>
      <c r="T18" s="135"/>
      <c r="U18" s="133"/>
      <c r="V18" s="152"/>
      <c r="W18" s="138"/>
      <c r="X18" s="138"/>
      <c r="Y18" s="139"/>
      <c r="Z18" s="141"/>
      <c r="AA18" s="141"/>
      <c r="AB18" s="128"/>
      <c r="AC18" s="128"/>
      <c r="AD18" s="143"/>
      <c r="AE18" s="144"/>
      <c r="AF18" s="128"/>
      <c r="AG18" s="145"/>
      <c r="AH18" s="146"/>
      <c r="AI18" s="147"/>
      <c r="AJ18" s="100" t="str">
        <f t="shared" si="0"/>
        <v/>
      </c>
      <c r="AK18" s="101"/>
      <c r="AL18" s="102"/>
    </row>
    <row r="19" spans="1:38" s="100" customFormat="1" ht="17.649999999999999" customHeight="1">
      <c r="A19" s="148"/>
      <c r="B19" s="128"/>
      <c r="C19" s="129"/>
      <c r="D19" s="130"/>
      <c r="E19" s="128"/>
      <c r="F19" s="129"/>
      <c r="G19" s="130"/>
      <c r="H19" s="128"/>
      <c r="I19" s="131"/>
      <c r="J19" s="129"/>
      <c r="K19" s="130"/>
      <c r="L19" s="132"/>
      <c r="M19" s="128"/>
      <c r="N19" s="128"/>
      <c r="O19" s="128"/>
      <c r="P19" s="128"/>
      <c r="Q19" s="133"/>
      <c r="R19" s="133"/>
      <c r="S19" s="134"/>
      <c r="T19" s="135"/>
      <c r="U19" s="133"/>
      <c r="V19" s="152"/>
      <c r="W19" s="138"/>
      <c r="X19" s="138"/>
      <c r="Y19" s="139"/>
      <c r="Z19" s="141"/>
      <c r="AA19" s="141"/>
      <c r="AB19" s="128"/>
      <c r="AC19" s="128"/>
      <c r="AD19" s="143"/>
      <c r="AE19" s="144"/>
      <c r="AF19" s="128"/>
      <c r="AG19" s="145"/>
      <c r="AH19" s="146"/>
      <c r="AI19" s="147"/>
      <c r="AJ19" s="100" t="str">
        <f t="shared" si="0"/>
        <v/>
      </c>
      <c r="AK19" s="101"/>
      <c r="AL19" s="102"/>
    </row>
    <row r="20" spans="1:38" s="100" customFormat="1" ht="17.649999999999999" customHeight="1">
      <c r="A20" s="148"/>
      <c r="B20" s="128"/>
      <c r="C20" s="129"/>
      <c r="D20" s="130"/>
      <c r="E20" s="128"/>
      <c r="F20" s="129"/>
      <c r="G20" s="130"/>
      <c r="H20" s="128"/>
      <c r="I20" s="131"/>
      <c r="J20" s="129"/>
      <c r="K20" s="130"/>
      <c r="L20" s="132"/>
      <c r="M20" s="128"/>
      <c r="N20" s="128"/>
      <c r="O20" s="128"/>
      <c r="P20" s="128"/>
      <c r="Q20" s="133"/>
      <c r="R20" s="133"/>
      <c r="S20" s="134"/>
      <c r="T20" s="135"/>
      <c r="U20" s="133"/>
      <c r="V20" s="152"/>
      <c r="W20" s="138"/>
      <c r="X20" s="138"/>
      <c r="Y20" s="139"/>
      <c r="Z20" s="141"/>
      <c r="AA20" s="141"/>
      <c r="AB20" s="128"/>
      <c r="AC20" s="128"/>
      <c r="AD20" s="143"/>
      <c r="AE20" s="144"/>
      <c r="AF20" s="128"/>
      <c r="AG20" s="145"/>
      <c r="AH20" s="146"/>
      <c r="AI20" s="147"/>
      <c r="AJ20" s="100" t="str">
        <f t="shared" si="0"/>
        <v/>
      </c>
      <c r="AK20" s="101"/>
      <c r="AL20" s="102"/>
    </row>
    <row r="21" spans="1:38" s="100" customFormat="1" ht="17.649999999999999" customHeight="1">
      <c r="A21" s="148"/>
      <c r="B21" s="128"/>
      <c r="C21" s="129"/>
      <c r="D21" s="130"/>
      <c r="E21" s="128"/>
      <c r="F21" s="129"/>
      <c r="G21" s="130"/>
      <c r="H21" s="128"/>
      <c r="I21" s="131"/>
      <c r="J21" s="129"/>
      <c r="K21" s="130"/>
      <c r="L21" s="132"/>
      <c r="M21" s="128"/>
      <c r="N21" s="128"/>
      <c r="O21" s="128"/>
      <c r="P21" s="128"/>
      <c r="Q21" s="133"/>
      <c r="R21" s="133"/>
      <c r="S21" s="134"/>
      <c r="T21" s="135"/>
      <c r="U21" s="133"/>
      <c r="V21" s="152"/>
      <c r="W21" s="138"/>
      <c r="X21" s="138"/>
      <c r="Y21" s="139"/>
      <c r="Z21" s="141"/>
      <c r="AA21" s="141"/>
      <c r="AB21" s="128"/>
      <c r="AC21" s="128"/>
      <c r="AD21" s="143"/>
      <c r="AE21" s="144"/>
      <c r="AF21" s="128"/>
      <c r="AG21" s="145"/>
      <c r="AH21" s="146"/>
      <c r="AI21" s="147"/>
      <c r="AJ21" s="100" t="str">
        <f t="shared" si="0"/>
        <v/>
      </c>
      <c r="AK21" s="101"/>
      <c r="AL21" s="102"/>
    </row>
    <row r="22" spans="1:38" s="100" customFormat="1" ht="17.649999999999999" customHeight="1">
      <c r="A22" s="148"/>
      <c r="B22" s="128"/>
      <c r="C22" s="129"/>
      <c r="D22" s="130"/>
      <c r="E22" s="128"/>
      <c r="F22" s="129"/>
      <c r="G22" s="130"/>
      <c r="H22" s="128"/>
      <c r="I22" s="131"/>
      <c r="J22" s="129"/>
      <c r="K22" s="130"/>
      <c r="L22" s="132"/>
      <c r="M22" s="128"/>
      <c r="N22" s="128"/>
      <c r="O22" s="128"/>
      <c r="P22" s="128"/>
      <c r="Q22" s="133"/>
      <c r="R22" s="133"/>
      <c r="S22" s="134"/>
      <c r="T22" s="135"/>
      <c r="U22" s="133"/>
      <c r="V22" s="152"/>
      <c r="W22" s="138"/>
      <c r="X22" s="138"/>
      <c r="Y22" s="139"/>
      <c r="Z22" s="141"/>
      <c r="AA22" s="141"/>
      <c r="AB22" s="128"/>
      <c r="AC22" s="128"/>
      <c r="AD22" s="143"/>
      <c r="AE22" s="144"/>
      <c r="AF22" s="128"/>
      <c r="AG22" s="145"/>
      <c r="AH22" s="146"/>
      <c r="AI22" s="147"/>
      <c r="AJ22" s="100" t="str">
        <f t="shared" si="0"/>
        <v/>
      </c>
      <c r="AK22" s="101"/>
      <c r="AL22" s="102"/>
    </row>
    <row r="23" spans="1:38" s="100" customFormat="1" ht="17.649999999999999" customHeight="1">
      <c r="A23" s="148"/>
      <c r="B23" s="128"/>
      <c r="C23" s="129"/>
      <c r="D23" s="130"/>
      <c r="E23" s="128"/>
      <c r="F23" s="129"/>
      <c r="G23" s="130"/>
      <c r="H23" s="128"/>
      <c r="I23" s="131"/>
      <c r="J23" s="129"/>
      <c r="K23" s="130"/>
      <c r="L23" s="132"/>
      <c r="M23" s="128"/>
      <c r="N23" s="128"/>
      <c r="O23" s="128"/>
      <c r="P23" s="128"/>
      <c r="Q23" s="133"/>
      <c r="R23" s="133"/>
      <c r="S23" s="134"/>
      <c r="T23" s="135"/>
      <c r="U23" s="133"/>
      <c r="V23" s="152"/>
      <c r="W23" s="138"/>
      <c r="X23" s="138"/>
      <c r="Y23" s="139"/>
      <c r="Z23" s="141"/>
      <c r="AA23" s="141"/>
      <c r="AB23" s="128"/>
      <c r="AC23" s="128"/>
      <c r="AD23" s="143"/>
      <c r="AE23" s="144"/>
      <c r="AF23" s="128"/>
      <c r="AG23" s="145"/>
      <c r="AH23" s="146"/>
      <c r="AI23" s="147"/>
      <c r="AJ23" s="100" t="str">
        <f t="shared" si="0"/>
        <v/>
      </c>
      <c r="AK23" s="101"/>
      <c r="AL23" s="102"/>
    </row>
    <row r="24" spans="1:38" s="100" customFormat="1" ht="17.649999999999999" customHeight="1">
      <c r="A24" s="148"/>
      <c r="B24" s="128"/>
      <c r="C24" s="129"/>
      <c r="D24" s="130"/>
      <c r="E24" s="128"/>
      <c r="F24" s="129"/>
      <c r="G24" s="130"/>
      <c r="H24" s="128"/>
      <c r="I24" s="131"/>
      <c r="J24" s="129"/>
      <c r="K24" s="130"/>
      <c r="L24" s="132"/>
      <c r="M24" s="128"/>
      <c r="N24" s="128"/>
      <c r="O24" s="128"/>
      <c r="P24" s="128"/>
      <c r="Q24" s="133"/>
      <c r="R24" s="133"/>
      <c r="S24" s="134"/>
      <c r="T24" s="135"/>
      <c r="U24" s="133"/>
      <c r="V24" s="152"/>
      <c r="W24" s="138"/>
      <c r="X24" s="138"/>
      <c r="Y24" s="139"/>
      <c r="Z24" s="141"/>
      <c r="AA24" s="141"/>
      <c r="AB24" s="128"/>
      <c r="AC24" s="128"/>
      <c r="AD24" s="143"/>
      <c r="AE24" s="144"/>
      <c r="AF24" s="128"/>
      <c r="AG24" s="145"/>
      <c r="AH24" s="146"/>
      <c r="AI24" s="147"/>
      <c r="AJ24" s="100" t="str">
        <f t="shared" si="0"/>
        <v/>
      </c>
      <c r="AK24" s="101"/>
      <c r="AL24" s="102"/>
    </row>
    <row r="25" spans="1:38" s="100" customFormat="1" ht="17.649999999999999" customHeight="1">
      <c r="A25" s="148"/>
      <c r="B25" s="128"/>
      <c r="C25" s="129"/>
      <c r="D25" s="130"/>
      <c r="E25" s="128"/>
      <c r="F25" s="129"/>
      <c r="G25" s="130"/>
      <c r="H25" s="128"/>
      <c r="I25" s="131"/>
      <c r="J25" s="129"/>
      <c r="K25" s="130"/>
      <c r="L25" s="132"/>
      <c r="M25" s="128"/>
      <c r="N25" s="128"/>
      <c r="O25" s="128"/>
      <c r="P25" s="128"/>
      <c r="Q25" s="133"/>
      <c r="R25" s="133"/>
      <c r="S25" s="134"/>
      <c r="T25" s="135"/>
      <c r="U25" s="133"/>
      <c r="V25" s="152"/>
      <c r="W25" s="138"/>
      <c r="X25" s="138"/>
      <c r="Y25" s="139"/>
      <c r="Z25" s="141"/>
      <c r="AA25" s="141"/>
      <c r="AB25" s="128"/>
      <c r="AC25" s="128"/>
      <c r="AD25" s="143"/>
      <c r="AE25" s="144"/>
      <c r="AF25" s="128"/>
      <c r="AG25" s="145"/>
      <c r="AH25" s="146"/>
      <c r="AI25" s="147"/>
      <c r="AJ25" s="100" t="str">
        <f t="shared" si="0"/>
        <v/>
      </c>
      <c r="AK25" s="101"/>
      <c r="AL25" s="102"/>
    </row>
    <row r="26" spans="1:38" s="100" customFormat="1" ht="17.649999999999999" customHeight="1">
      <c r="A26" s="148"/>
      <c r="B26" s="128"/>
      <c r="C26" s="129"/>
      <c r="D26" s="130"/>
      <c r="E26" s="128"/>
      <c r="F26" s="129"/>
      <c r="G26" s="130"/>
      <c r="H26" s="128"/>
      <c r="I26" s="131"/>
      <c r="J26" s="129"/>
      <c r="K26" s="130"/>
      <c r="L26" s="132"/>
      <c r="M26" s="128"/>
      <c r="N26" s="128"/>
      <c r="O26" s="128"/>
      <c r="P26" s="128"/>
      <c r="Q26" s="133"/>
      <c r="R26" s="133"/>
      <c r="S26" s="134"/>
      <c r="T26" s="135"/>
      <c r="U26" s="133"/>
      <c r="V26" s="152"/>
      <c r="W26" s="138"/>
      <c r="X26" s="138"/>
      <c r="Y26" s="139"/>
      <c r="Z26" s="141"/>
      <c r="AA26" s="141"/>
      <c r="AB26" s="128"/>
      <c r="AC26" s="128"/>
      <c r="AD26" s="143"/>
      <c r="AE26" s="144"/>
      <c r="AF26" s="128"/>
      <c r="AG26" s="145"/>
      <c r="AH26" s="146"/>
      <c r="AI26" s="147"/>
      <c r="AJ26" s="100" t="str">
        <f t="shared" si="0"/>
        <v/>
      </c>
      <c r="AK26" s="101"/>
      <c r="AL26" s="102"/>
    </row>
    <row r="27" spans="1:38" s="100" customFormat="1" ht="17.649999999999999" customHeight="1">
      <c r="A27" s="148"/>
      <c r="B27" s="128"/>
      <c r="C27" s="129"/>
      <c r="D27" s="130"/>
      <c r="E27" s="128"/>
      <c r="F27" s="129"/>
      <c r="G27" s="130"/>
      <c r="H27" s="128"/>
      <c r="I27" s="131"/>
      <c r="J27" s="129"/>
      <c r="K27" s="130"/>
      <c r="L27" s="132"/>
      <c r="M27" s="128"/>
      <c r="N27" s="128"/>
      <c r="O27" s="128"/>
      <c r="P27" s="128"/>
      <c r="Q27" s="133"/>
      <c r="R27" s="133"/>
      <c r="S27" s="134"/>
      <c r="T27" s="135"/>
      <c r="U27" s="133"/>
      <c r="V27" s="152"/>
      <c r="W27" s="138"/>
      <c r="X27" s="138"/>
      <c r="Y27" s="139"/>
      <c r="Z27" s="141"/>
      <c r="AA27" s="141"/>
      <c r="AB27" s="128"/>
      <c r="AC27" s="128"/>
      <c r="AD27" s="143"/>
      <c r="AE27" s="144"/>
      <c r="AF27" s="128"/>
      <c r="AG27" s="145"/>
      <c r="AH27" s="153"/>
      <c r="AI27" s="154"/>
      <c r="AJ27" s="100" t="str">
        <f t="shared" si="0"/>
        <v/>
      </c>
      <c r="AK27" s="101"/>
      <c r="AL27" s="102"/>
    </row>
    <row r="28" spans="1:38" s="100" customFormat="1" ht="17.649999999999999" customHeight="1">
      <c r="A28" s="148"/>
      <c r="B28" s="128"/>
      <c r="C28" s="129"/>
      <c r="D28" s="130"/>
      <c r="E28" s="128"/>
      <c r="F28" s="129"/>
      <c r="G28" s="130"/>
      <c r="H28" s="128"/>
      <c r="I28" s="131"/>
      <c r="J28" s="129"/>
      <c r="K28" s="130"/>
      <c r="L28" s="132"/>
      <c r="M28" s="128"/>
      <c r="N28" s="128"/>
      <c r="O28" s="128"/>
      <c r="P28" s="128"/>
      <c r="Q28" s="133"/>
      <c r="R28" s="133"/>
      <c r="S28" s="134"/>
      <c r="T28" s="135"/>
      <c r="U28" s="133"/>
      <c r="V28" s="152"/>
      <c r="W28" s="138"/>
      <c r="X28" s="138"/>
      <c r="Y28" s="139"/>
      <c r="Z28" s="141"/>
      <c r="AA28" s="141"/>
      <c r="AB28" s="128"/>
      <c r="AC28" s="128"/>
      <c r="AD28" s="143"/>
      <c r="AE28" s="144"/>
      <c r="AF28" s="128"/>
      <c r="AG28" s="145"/>
      <c r="AH28" s="153"/>
      <c r="AI28" s="154"/>
      <c r="AJ28" s="100" t="str">
        <f t="shared" si="0"/>
        <v/>
      </c>
      <c r="AK28" s="101"/>
      <c r="AL28" s="102"/>
    </row>
    <row r="29" spans="1:38" s="100" customFormat="1" ht="17.649999999999999" customHeight="1">
      <c r="A29" s="148"/>
      <c r="B29" s="128"/>
      <c r="C29" s="129"/>
      <c r="D29" s="130"/>
      <c r="E29" s="128"/>
      <c r="F29" s="129"/>
      <c r="G29" s="130"/>
      <c r="H29" s="128"/>
      <c r="I29" s="131"/>
      <c r="J29" s="129"/>
      <c r="K29" s="130"/>
      <c r="L29" s="132"/>
      <c r="M29" s="128"/>
      <c r="N29" s="128"/>
      <c r="O29" s="128"/>
      <c r="P29" s="128"/>
      <c r="Q29" s="155"/>
      <c r="R29" s="133"/>
      <c r="S29" s="134"/>
      <c r="T29" s="135"/>
      <c r="U29" s="155"/>
      <c r="V29" s="156"/>
      <c r="W29" s="157"/>
      <c r="X29" s="138"/>
      <c r="Y29" s="139"/>
      <c r="Z29" s="158"/>
      <c r="AA29" s="158"/>
      <c r="AB29" s="159"/>
      <c r="AC29" s="128"/>
      <c r="AD29" s="143"/>
      <c r="AE29" s="144"/>
      <c r="AF29" s="128"/>
      <c r="AG29" s="160"/>
      <c r="AH29" s="161"/>
      <c r="AI29" s="162"/>
      <c r="AJ29" s="100" t="str">
        <f t="shared" si="0"/>
        <v/>
      </c>
      <c r="AK29" s="101"/>
      <c r="AL29" s="102"/>
    </row>
    <row r="30" spans="1:38" s="100" customFormat="1" ht="17.649999999999999" customHeight="1">
      <c r="A30" s="148"/>
      <c r="B30" s="128"/>
      <c r="C30" s="129"/>
      <c r="D30" s="130"/>
      <c r="E30" s="128"/>
      <c r="F30" s="129"/>
      <c r="G30" s="130"/>
      <c r="H30" s="128"/>
      <c r="I30" s="131"/>
      <c r="J30" s="129"/>
      <c r="K30" s="130"/>
      <c r="L30" s="132"/>
      <c r="M30" s="128"/>
      <c r="N30" s="128"/>
      <c r="O30" s="128"/>
      <c r="P30" s="128"/>
      <c r="Q30" s="163"/>
      <c r="R30" s="133"/>
      <c r="S30" s="134"/>
      <c r="T30" s="135"/>
      <c r="U30" s="163"/>
      <c r="V30" s="164"/>
      <c r="W30" s="165"/>
      <c r="X30" s="138"/>
      <c r="Y30" s="139"/>
      <c r="Z30" s="166"/>
      <c r="AA30" s="166"/>
      <c r="AB30" s="167"/>
      <c r="AC30" s="128"/>
      <c r="AD30" s="143"/>
      <c r="AE30" s="144"/>
      <c r="AF30" s="128"/>
      <c r="AG30" s="168"/>
      <c r="AH30" s="169"/>
      <c r="AI30" s="170"/>
      <c r="AJ30" s="100" t="str">
        <f t="shared" si="0"/>
        <v/>
      </c>
      <c r="AK30" s="101"/>
      <c r="AL30" s="102"/>
    </row>
    <row r="31" spans="1:38" ht="3.4" customHeight="1">
      <c r="A31" s="171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3"/>
    </row>
    <row r="32" spans="1:38" s="24" customFormat="1" ht="24" customHeight="1">
      <c r="A32" s="174" t="s">
        <v>69</v>
      </c>
      <c r="B32" s="175"/>
      <c r="C32" s="175"/>
      <c r="D32" s="175"/>
      <c r="E32" s="175"/>
      <c r="F32" s="175"/>
      <c r="G32" s="175"/>
      <c r="H32" s="176"/>
      <c r="I32" s="177" t="s">
        <v>70</v>
      </c>
      <c r="J32" s="178"/>
      <c r="K32" s="178"/>
      <c r="L32" s="178"/>
      <c r="M32" s="178"/>
      <c r="N32" s="178"/>
      <c r="O32" s="179"/>
      <c r="P32" s="180" t="s">
        <v>71</v>
      </c>
      <c r="Q32" s="181"/>
      <c r="R32" s="182" t="s">
        <v>72</v>
      </c>
      <c r="S32" s="183"/>
      <c r="T32" s="183"/>
      <c r="U32" s="183"/>
      <c r="V32" s="183"/>
      <c r="W32" s="180" t="s">
        <v>73</v>
      </c>
      <c r="X32" s="181"/>
      <c r="Y32" s="184" t="s">
        <v>74</v>
      </c>
      <c r="Z32" s="185"/>
      <c r="AA32" s="185"/>
      <c r="AB32" s="185"/>
      <c r="AC32" s="186"/>
      <c r="AD32" s="187" t="s">
        <v>75</v>
      </c>
      <c r="AE32" s="188"/>
      <c r="AF32" s="188"/>
      <c r="AG32" s="189"/>
      <c r="AH32" s="180" t="s">
        <v>73</v>
      </c>
      <c r="AI32" s="190"/>
    </row>
    <row r="33" spans="1:41" s="24" customFormat="1" ht="24" customHeight="1">
      <c r="A33" s="191"/>
      <c r="B33" s="192"/>
      <c r="C33" s="192"/>
      <c r="D33" s="192"/>
      <c r="E33" s="192"/>
      <c r="F33" s="192"/>
      <c r="G33" s="192"/>
      <c r="H33" s="193"/>
      <c r="I33" s="194"/>
      <c r="J33" s="195"/>
      <c r="K33" s="195"/>
      <c r="L33" s="195"/>
      <c r="M33" s="195"/>
      <c r="N33" s="195"/>
      <c r="O33" s="196"/>
      <c r="P33" s="197"/>
      <c r="Q33" s="198"/>
      <c r="R33" s="199" t="s">
        <v>76</v>
      </c>
      <c r="S33" s="200"/>
      <c r="T33" s="201"/>
      <c r="U33" s="199" t="s">
        <v>77</v>
      </c>
      <c r="V33" s="200"/>
      <c r="W33" s="197"/>
      <c r="X33" s="198"/>
      <c r="Y33" s="184" t="s">
        <v>76</v>
      </c>
      <c r="Z33" s="185"/>
      <c r="AA33" s="185"/>
      <c r="AB33" s="202" t="s">
        <v>77</v>
      </c>
      <c r="AC33" s="202"/>
      <c r="AD33" s="199"/>
      <c r="AE33" s="200"/>
      <c r="AF33" s="200"/>
      <c r="AG33" s="203"/>
      <c r="AH33" s="197"/>
      <c r="AI33" s="204"/>
    </row>
    <row r="34" spans="1:41" s="24" customFormat="1" ht="25.5" customHeight="1">
      <c r="A34" s="191"/>
      <c r="B34" s="192"/>
      <c r="C34" s="192"/>
      <c r="D34" s="192"/>
      <c r="E34" s="192"/>
      <c r="F34" s="192"/>
      <c r="G34" s="192"/>
      <c r="H34" s="193"/>
      <c r="I34" s="194"/>
      <c r="J34" s="195"/>
      <c r="K34" s="195"/>
      <c r="L34" s="195"/>
      <c r="M34" s="195"/>
      <c r="N34" s="195"/>
      <c r="O34" s="196"/>
      <c r="P34" s="205" t="s">
        <v>78</v>
      </c>
      <c r="Q34" s="206"/>
      <c r="R34" s="207"/>
      <c r="S34" s="208"/>
      <c r="T34" s="209"/>
      <c r="U34" s="207"/>
      <c r="V34" s="210"/>
      <c r="W34" s="211"/>
      <c r="X34" s="211"/>
      <c r="Y34" s="212"/>
      <c r="Z34" s="213"/>
      <c r="AA34" s="213"/>
      <c r="AB34" s="214"/>
      <c r="AC34" s="214"/>
      <c r="AD34" s="180" t="s">
        <v>79</v>
      </c>
      <c r="AE34" s="215"/>
      <c r="AF34" s="215"/>
      <c r="AG34" s="181"/>
      <c r="AH34" s="180"/>
      <c r="AI34" s="190"/>
    </row>
    <row r="35" spans="1:41" s="24" customFormat="1" ht="25.5" customHeight="1">
      <c r="A35" s="216"/>
      <c r="B35" s="217"/>
      <c r="C35" s="217"/>
      <c r="D35" s="217"/>
      <c r="E35" s="217"/>
      <c r="F35" s="217"/>
      <c r="G35" s="217"/>
      <c r="H35" s="218"/>
      <c r="I35" s="219"/>
      <c r="J35" s="220"/>
      <c r="K35" s="220"/>
      <c r="L35" s="220"/>
      <c r="M35" s="220"/>
      <c r="N35" s="220"/>
      <c r="O35" s="221"/>
      <c r="P35" s="222" t="s">
        <v>80</v>
      </c>
      <c r="Q35" s="223"/>
      <c r="R35" s="224"/>
      <c r="S35" s="225"/>
      <c r="T35" s="226"/>
      <c r="U35" s="224"/>
      <c r="V35" s="227"/>
      <c r="W35" s="228"/>
      <c r="X35" s="228"/>
      <c r="Y35" s="229"/>
      <c r="Z35" s="230"/>
      <c r="AA35" s="230"/>
      <c r="AB35" s="231"/>
      <c r="AC35" s="231"/>
      <c r="AD35" s="197"/>
      <c r="AE35" s="232"/>
      <c r="AF35" s="232"/>
      <c r="AG35" s="198"/>
      <c r="AH35" s="197"/>
      <c r="AI35" s="204"/>
    </row>
    <row r="36" spans="1:41" ht="21" customHeight="1">
      <c r="A36" s="233"/>
      <c r="B36" s="234"/>
      <c r="C36" s="234"/>
      <c r="D36" s="234"/>
      <c r="E36" s="234"/>
      <c r="F36" s="235"/>
      <c r="G36" s="235"/>
      <c r="H36" s="235"/>
      <c r="I36" s="234"/>
      <c r="J36" s="234"/>
      <c r="K36" s="234"/>
      <c r="L36" s="234"/>
      <c r="M36" s="234"/>
      <c r="N36" s="234"/>
      <c r="O36" s="235"/>
      <c r="P36" s="235"/>
      <c r="Q36" s="235"/>
      <c r="R36" s="235"/>
      <c r="S36" s="235"/>
      <c r="T36" s="235"/>
      <c r="U36" s="235"/>
      <c r="V36" s="234"/>
      <c r="W36" s="234"/>
      <c r="X36" s="234"/>
      <c r="Y36" s="234"/>
      <c r="Z36" s="236"/>
      <c r="AA36" s="236"/>
      <c r="AB36" s="236"/>
      <c r="AC36" s="236"/>
      <c r="AD36" s="236"/>
      <c r="AE36" s="236"/>
      <c r="AF36" s="236"/>
      <c r="AG36" s="236"/>
      <c r="AH36" s="236"/>
      <c r="AI36" s="237"/>
      <c r="AO36" s="238"/>
    </row>
    <row r="37" spans="1:41" ht="26.1" customHeight="1">
      <c r="A37" s="233"/>
      <c r="B37" s="234"/>
      <c r="C37" s="234"/>
      <c r="D37" s="234"/>
      <c r="E37" s="234"/>
      <c r="F37" s="235"/>
      <c r="G37" s="235"/>
      <c r="H37" s="235"/>
      <c r="I37" s="234"/>
      <c r="J37" s="234"/>
      <c r="K37" s="234"/>
      <c r="L37" s="234"/>
      <c r="M37" s="234"/>
      <c r="N37" s="234"/>
      <c r="O37" s="235"/>
      <c r="P37" s="235"/>
      <c r="Q37" s="235"/>
      <c r="R37" s="235"/>
      <c r="S37" s="235"/>
      <c r="T37" s="235"/>
      <c r="U37" s="235"/>
      <c r="V37" s="234"/>
      <c r="W37" s="234"/>
      <c r="X37" s="234"/>
      <c r="Y37" s="234"/>
      <c r="Z37" s="236"/>
      <c r="AA37" s="236"/>
      <c r="AB37" s="236"/>
      <c r="AC37" s="236"/>
      <c r="AD37" s="236"/>
      <c r="AE37" s="236"/>
      <c r="AF37" s="236"/>
      <c r="AG37" s="236"/>
      <c r="AH37" s="236"/>
      <c r="AI37" s="237"/>
    </row>
    <row r="38" spans="1:41" ht="33" customHeight="1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I38" s="13"/>
    </row>
    <row r="39" spans="1:41" ht="21" customHeight="1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I39" s="13"/>
    </row>
    <row r="40" spans="1:41" ht="10.9" customHeight="1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I40" s="13"/>
    </row>
    <row r="41" spans="1:41" s="250" customFormat="1" ht="11.25" customHeight="1">
      <c r="A41" s="239"/>
      <c r="B41" s="240"/>
      <c r="C41" s="241"/>
      <c r="D41" s="240"/>
      <c r="E41" s="242"/>
      <c r="F41" s="242"/>
      <c r="G41" s="242"/>
      <c r="H41" s="243"/>
      <c r="I41" s="242"/>
      <c r="J41" s="244"/>
      <c r="K41" s="244"/>
      <c r="L41" s="242"/>
      <c r="M41" s="242"/>
      <c r="N41" s="242"/>
      <c r="O41" s="245"/>
      <c r="P41" s="242"/>
      <c r="Q41" s="242"/>
      <c r="R41" s="242"/>
      <c r="S41" s="246"/>
      <c r="T41" s="246"/>
      <c r="U41" s="247"/>
      <c r="V41" s="242"/>
      <c r="W41" s="242"/>
      <c r="X41" s="242"/>
      <c r="Y41" s="242"/>
      <c r="Z41" s="242"/>
      <c r="AA41" s="242"/>
      <c r="AB41" s="242"/>
      <c r="AC41" s="248"/>
      <c r="AD41" s="248"/>
      <c r="AE41" s="248"/>
      <c r="AF41" s="248"/>
      <c r="AG41" s="242"/>
      <c r="AH41" s="242"/>
      <c r="AI41" s="249"/>
      <c r="AK41" s="6"/>
      <c r="AL41" s="6"/>
      <c r="AN41" s="5"/>
    </row>
    <row r="42" spans="1:41" s="250" customFormat="1" ht="20.100000000000001" customHeight="1">
      <c r="A42" s="251" t="s">
        <v>81</v>
      </c>
      <c r="B42" s="252"/>
      <c r="C42" s="253"/>
      <c r="D42" s="254"/>
      <c r="E42" s="255"/>
      <c r="F42" s="255"/>
      <c r="G42" s="255"/>
      <c r="H42" s="256"/>
      <c r="I42" s="255"/>
      <c r="J42" s="255"/>
      <c r="K42" s="255"/>
      <c r="L42" s="255"/>
      <c r="M42" s="255"/>
      <c r="N42" s="255"/>
      <c r="O42" s="257"/>
      <c r="P42" s="257"/>
      <c r="Q42" s="257"/>
      <c r="R42" s="257"/>
      <c r="S42" s="257"/>
      <c r="T42" s="258"/>
      <c r="U42" s="259" t="s">
        <v>82</v>
      </c>
      <c r="V42" s="259"/>
      <c r="W42" s="259"/>
      <c r="X42" s="260" t="s">
        <v>83</v>
      </c>
      <c r="Y42" s="261"/>
      <c r="Z42" s="261"/>
      <c r="AA42" s="261"/>
      <c r="AB42" s="261"/>
      <c r="AC42" s="262"/>
      <c r="AD42" s="262"/>
      <c r="AE42" s="262"/>
      <c r="AF42" s="262"/>
      <c r="AG42" s="261"/>
      <c r="AH42" s="261"/>
      <c r="AI42" s="263"/>
      <c r="AK42" s="6"/>
      <c r="AL42" s="6"/>
      <c r="AN42" s="5"/>
    </row>
    <row r="43" spans="1:41" s="250" customFormat="1" ht="20.100000000000001" customHeight="1">
      <c r="A43" s="264" t="s">
        <v>84</v>
      </c>
      <c r="B43" s="265"/>
      <c r="C43" s="266"/>
      <c r="D43" s="267"/>
      <c r="H43" s="268"/>
      <c r="O43" s="269"/>
      <c r="P43" s="269"/>
      <c r="Q43" s="269"/>
      <c r="R43" s="269"/>
      <c r="S43" s="269"/>
      <c r="T43" s="270"/>
      <c r="U43" s="271" t="s">
        <v>85</v>
      </c>
      <c r="V43" s="271"/>
      <c r="W43" s="271"/>
      <c r="X43" s="272" t="s">
        <v>86</v>
      </c>
      <c r="Y43" s="273"/>
      <c r="Z43" s="273"/>
      <c r="AA43" s="273"/>
      <c r="AB43" s="273"/>
      <c r="AC43" s="274"/>
      <c r="AD43" s="274"/>
      <c r="AE43" s="274"/>
      <c r="AF43" s="274"/>
      <c r="AG43" s="273"/>
      <c r="AH43" s="273"/>
      <c r="AI43" s="275"/>
      <c r="AK43" s="6"/>
      <c r="AL43" s="6"/>
      <c r="AN43" s="5"/>
    </row>
    <row r="44" spans="1:41" s="250" customFormat="1" ht="24.6" customHeight="1">
      <c r="A44" s="264" t="s">
        <v>87</v>
      </c>
      <c r="B44" s="265"/>
      <c r="C44" s="266"/>
      <c r="D44" s="267"/>
      <c r="H44" s="268"/>
      <c r="O44" s="269"/>
      <c r="P44" s="269"/>
      <c r="Q44" s="269"/>
      <c r="R44" s="269"/>
      <c r="S44" s="269"/>
      <c r="T44" s="270"/>
      <c r="U44" s="276" t="str">
        <f>IF(COUNTIF(H11:H30,"USA")+COUNTIF(H11:H30,"China")+COUNTIF(H11:H30,"Abbott")+COUNTIF(H11:H30,"Australia")&gt;0,"","N/A")</f>
        <v>N/A</v>
      </c>
      <c r="V44" s="276"/>
      <c r="W44" s="276"/>
      <c r="X44" s="277" t="s">
        <v>88</v>
      </c>
      <c r="Y44" s="278"/>
      <c r="Z44" s="278"/>
      <c r="AA44" s="279"/>
      <c r="AB44" s="280" t="s">
        <v>89</v>
      </c>
      <c r="AC44" s="280"/>
      <c r="AD44" s="281"/>
      <c r="AE44" s="282" t="s">
        <v>90</v>
      </c>
      <c r="AF44" s="283"/>
      <c r="AG44" s="284"/>
      <c r="AH44" s="285" t="s">
        <v>37</v>
      </c>
      <c r="AI44" s="286"/>
      <c r="AK44" s="6"/>
      <c r="AL44" s="6"/>
      <c r="AN44" s="5"/>
    </row>
    <row r="45" spans="1:41" s="250" customFormat="1" ht="24.6" customHeight="1">
      <c r="A45" s="287"/>
      <c r="B45" s="288"/>
      <c r="C45" s="268"/>
      <c r="H45" s="268"/>
      <c r="O45" s="269"/>
      <c r="P45" s="269"/>
      <c r="Q45" s="269"/>
      <c r="R45" s="269"/>
      <c r="S45" s="269"/>
      <c r="T45" s="270"/>
      <c r="U45" s="276"/>
      <c r="V45" s="276"/>
      <c r="W45" s="276"/>
      <c r="X45" s="289" t="s">
        <v>91</v>
      </c>
      <c r="Y45" s="290"/>
      <c r="Z45" s="290"/>
      <c r="AA45" s="291"/>
      <c r="AB45" s="292" t="str">
        <f>IF($U$44="N/A","N/A","")</f>
        <v>N/A</v>
      </c>
      <c r="AC45" s="293"/>
      <c r="AD45" s="294"/>
      <c r="AE45" s="295" t="str">
        <f>IF($U$44="N/A","N/A","")</f>
        <v>N/A</v>
      </c>
      <c r="AF45" s="296"/>
      <c r="AG45" s="297"/>
      <c r="AH45" s="298">
        <f>SUM($S$11:$S$30)+SUM($T$11:$T$30)</f>
        <v>0</v>
      </c>
      <c r="AI45" s="299" t="s">
        <v>92</v>
      </c>
      <c r="AK45" s="6"/>
      <c r="AL45" s="6"/>
    </row>
    <row r="46" spans="1:41" s="250" customFormat="1" ht="24.6" customHeight="1" thickBot="1">
      <c r="A46" s="300"/>
      <c r="B46" s="301"/>
      <c r="C46" s="302"/>
      <c r="D46" s="303"/>
      <c r="E46" s="303"/>
      <c r="F46" s="303"/>
      <c r="G46" s="303"/>
      <c r="H46" s="303"/>
      <c r="I46" s="303"/>
      <c r="J46" s="303"/>
      <c r="K46" s="304"/>
      <c r="L46" s="303"/>
      <c r="M46" s="303"/>
      <c r="N46" s="305"/>
      <c r="O46" s="306"/>
      <c r="P46" s="306"/>
      <c r="Q46" s="306"/>
      <c r="R46" s="306"/>
      <c r="S46" s="306"/>
      <c r="T46" s="307"/>
      <c r="U46" s="308"/>
      <c r="V46" s="308"/>
      <c r="W46" s="308"/>
      <c r="X46" s="309" t="s">
        <v>93</v>
      </c>
      <c r="Y46" s="310"/>
      <c r="Z46" s="310"/>
      <c r="AA46" s="311"/>
      <c r="AB46" s="312" t="str">
        <f>IF($U$44="N/A","N/A","")</f>
        <v>N/A</v>
      </c>
      <c r="AC46" s="313"/>
      <c r="AD46" s="314"/>
      <c r="AE46" s="315" t="str">
        <f>IF($U$44="N/A","N/A","")</f>
        <v>N/A</v>
      </c>
      <c r="AF46" s="313"/>
      <c r="AG46" s="314"/>
      <c r="AH46" s="316"/>
      <c r="AI46" s="317"/>
      <c r="AK46" s="6"/>
      <c r="AL46" s="6"/>
    </row>
    <row r="47" spans="1:41" s="250" customFormat="1" ht="3.75" customHeight="1">
      <c r="A47" s="318"/>
      <c r="B47" s="319"/>
      <c r="C47" s="319"/>
      <c r="D47" s="320"/>
      <c r="E47" s="320"/>
      <c r="F47" s="320"/>
      <c r="G47" s="320"/>
      <c r="H47" s="320"/>
      <c r="I47" s="320"/>
      <c r="J47" s="320"/>
      <c r="K47" s="320"/>
      <c r="L47" s="320"/>
      <c r="M47" s="320"/>
      <c r="N47" s="321"/>
      <c r="O47" s="322"/>
      <c r="P47" s="322"/>
      <c r="Q47" s="322"/>
      <c r="R47" s="322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4"/>
      <c r="AF47" s="324"/>
      <c r="AG47" s="324"/>
      <c r="AH47" s="324"/>
      <c r="AI47" s="324"/>
      <c r="AK47" s="6"/>
      <c r="AL47" s="6"/>
    </row>
    <row r="48" spans="1:41">
      <c r="A48" s="325" t="s">
        <v>94</v>
      </c>
      <c r="B48" s="326"/>
      <c r="C48" s="327"/>
      <c r="D48" s="326"/>
      <c r="E48" s="326"/>
      <c r="F48" s="328"/>
      <c r="G48" s="328"/>
      <c r="H48" s="327"/>
      <c r="I48" s="326"/>
      <c r="J48" s="326"/>
      <c r="K48" s="326"/>
      <c r="L48" s="329"/>
      <c r="M48" s="329"/>
      <c r="N48" s="76"/>
      <c r="O48" s="76"/>
      <c r="P48" s="76"/>
      <c r="Q48" s="76"/>
      <c r="R48" s="76"/>
      <c r="S48" s="76"/>
      <c r="T48" s="76"/>
      <c r="U48" s="329" t="s">
        <v>95</v>
      </c>
      <c r="V48" s="76"/>
      <c r="W48" s="330"/>
      <c r="X48" s="330"/>
      <c r="Y48" s="76"/>
      <c r="Z48" s="76"/>
      <c r="AA48" s="76"/>
      <c r="AB48" s="76"/>
      <c r="AC48" s="76"/>
      <c r="AD48" s="76"/>
      <c r="AE48" s="76"/>
    </row>
    <row r="49" spans="1:31" hidden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</row>
  </sheetData>
  <mergeCells count="194">
    <mergeCell ref="AI45:AI46"/>
    <mergeCell ref="D46:E46"/>
    <mergeCell ref="F46:H46"/>
    <mergeCell ref="I46:J46"/>
    <mergeCell ref="L46:M46"/>
    <mergeCell ref="X46:AA46"/>
    <mergeCell ref="AB46:AD46"/>
    <mergeCell ref="AE46:AG46"/>
    <mergeCell ref="U42:W42"/>
    <mergeCell ref="U43:W43"/>
    <mergeCell ref="U44:W46"/>
    <mergeCell ref="X44:AA44"/>
    <mergeCell ref="AE44:AG44"/>
    <mergeCell ref="AH44:AI44"/>
    <mergeCell ref="X45:AA45"/>
    <mergeCell ref="AB45:AD45"/>
    <mergeCell ref="AE45:AG45"/>
    <mergeCell ref="AH45:AH46"/>
    <mergeCell ref="AD34:AG35"/>
    <mergeCell ref="AH34:AI35"/>
    <mergeCell ref="P35:Q35"/>
    <mergeCell ref="R35:S35"/>
    <mergeCell ref="U35:V35"/>
    <mergeCell ref="AB35:AC35"/>
    <mergeCell ref="AD32:AG33"/>
    <mergeCell ref="AH32:AI33"/>
    <mergeCell ref="R33:S33"/>
    <mergeCell ref="U33:V33"/>
    <mergeCell ref="Y33:AA33"/>
    <mergeCell ref="AB33:AC33"/>
    <mergeCell ref="A32:H35"/>
    <mergeCell ref="I32:O35"/>
    <mergeCell ref="P32:Q33"/>
    <mergeCell ref="R32:V32"/>
    <mergeCell ref="W32:X33"/>
    <mergeCell ref="Y32:AC32"/>
    <mergeCell ref="P34:Q34"/>
    <mergeCell ref="R34:S34"/>
    <mergeCell ref="U34:V34"/>
    <mergeCell ref="AB34:AC34"/>
    <mergeCell ref="C29:D29"/>
    <mergeCell ref="F29:G29"/>
    <mergeCell ref="J29:K29"/>
    <mergeCell ref="AD29:AE29"/>
    <mergeCell ref="AH29:AI29"/>
    <mergeCell ref="C30:D30"/>
    <mergeCell ref="F30:G30"/>
    <mergeCell ref="J30:K30"/>
    <mergeCell ref="AD30:AE30"/>
    <mergeCell ref="AH30:AI30"/>
    <mergeCell ref="C27:D27"/>
    <mergeCell ref="F27:G27"/>
    <mergeCell ref="J27:K27"/>
    <mergeCell ref="AD27:AE27"/>
    <mergeCell ref="C28:D28"/>
    <mergeCell ref="F28:G28"/>
    <mergeCell ref="J28:K28"/>
    <mergeCell ref="AD28:AE28"/>
    <mergeCell ref="C25:D25"/>
    <mergeCell ref="F25:G25"/>
    <mergeCell ref="J25:K25"/>
    <mergeCell ref="AD25:AE25"/>
    <mergeCell ref="AH25:AI25"/>
    <mergeCell ref="C26:D26"/>
    <mergeCell ref="F26:G26"/>
    <mergeCell ref="J26:K26"/>
    <mergeCell ref="AD26:AE26"/>
    <mergeCell ref="AH26:AI26"/>
    <mergeCell ref="C23:D23"/>
    <mergeCell ref="F23:G23"/>
    <mergeCell ref="J23:K23"/>
    <mergeCell ref="AD23:AE23"/>
    <mergeCell ref="AH23:AI23"/>
    <mergeCell ref="C24:D24"/>
    <mergeCell ref="F24:G24"/>
    <mergeCell ref="J24:K24"/>
    <mergeCell ref="AD24:AE24"/>
    <mergeCell ref="AH24:AI24"/>
    <mergeCell ref="C21:D21"/>
    <mergeCell ref="F21:G21"/>
    <mergeCell ref="J21:K21"/>
    <mergeCell ref="AD21:AE21"/>
    <mergeCell ref="AH21:AI21"/>
    <mergeCell ref="C22:D22"/>
    <mergeCell ref="F22:G22"/>
    <mergeCell ref="J22:K22"/>
    <mergeCell ref="AD22:AE22"/>
    <mergeCell ref="AH22:AI22"/>
    <mergeCell ref="C19:D19"/>
    <mergeCell ref="F19:G19"/>
    <mergeCell ref="J19:K19"/>
    <mergeCell ref="AD19:AE19"/>
    <mergeCell ref="AH19:AI19"/>
    <mergeCell ref="C20:D20"/>
    <mergeCell ref="F20:G20"/>
    <mergeCell ref="J20:K20"/>
    <mergeCell ref="AD20:AE20"/>
    <mergeCell ref="AH20:AI20"/>
    <mergeCell ref="C17:D17"/>
    <mergeCell ref="F17:G17"/>
    <mergeCell ref="J17:K17"/>
    <mergeCell ref="AD17:AE17"/>
    <mergeCell ref="AH17:AI17"/>
    <mergeCell ref="C18:D18"/>
    <mergeCell ref="F18:G18"/>
    <mergeCell ref="J18:K18"/>
    <mergeCell ref="AD18:AE18"/>
    <mergeCell ref="AH18:AI18"/>
    <mergeCell ref="C15:D15"/>
    <mergeCell ref="F15:G15"/>
    <mergeCell ref="J15:K15"/>
    <mergeCell ref="AD15:AE15"/>
    <mergeCell ref="AH15:AI15"/>
    <mergeCell ref="C16:D16"/>
    <mergeCell ref="F16:G16"/>
    <mergeCell ref="J16:K16"/>
    <mergeCell ref="AD16:AE16"/>
    <mergeCell ref="AH16:AI16"/>
    <mergeCell ref="C13:D13"/>
    <mergeCell ref="F13:G13"/>
    <mergeCell ref="J13:K13"/>
    <mergeCell ref="AD13:AE13"/>
    <mergeCell ref="AH13:AI13"/>
    <mergeCell ref="C14:D14"/>
    <mergeCell ref="F14:G14"/>
    <mergeCell ref="J14:K14"/>
    <mergeCell ref="AD14:AE14"/>
    <mergeCell ref="AH14:AI14"/>
    <mergeCell ref="C11:D11"/>
    <mergeCell ref="F11:G11"/>
    <mergeCell ref="J11:K11"/>
    <mergeCell ref="AD11:AE11"/>
    <mergeCell ref="AH11:AI11"/>
    <mergeCell ref="C12:D12"/>
    <mergeCell ref="F12:G12"/>
    <mergeCell ref="J12:K12"/>
    <mergeCell ref="AD12:AE12"/>
    <mergeCell ref="AH12:AI12"/>
    <mergeCell ref="AF9:AF10"/>
    <mergeCell ref="AG9:AI9"/>
    <mergeCell ref="C10:D10"/>
    <mergeCell ref="F10:G10"/>
    <mergeCell ref="J10:K10"/>
    <mergeCell ref="AH10:AI10"/>
    <mergeCell ref="AF8:AG8"/>
    <mergeCell ref="AH8:AI8"/>
    <mergeCell ref="A9:A10"/>
    <mergeCell ref="B9:L9"/>
    <mergeCell ref="M9:P9"/>
    <mergeCell ref="R9:T9"/>
    <mergeCell ref="U9:V9"/>
    <mergeCell ref="W9:Y9"/>
    <mergeCell ref="AA9:AC9"/>
    <mergeCell ref="AD9:AE10"/>
    <mergeCell ref="T8:U8"/>
    <mergeCell ref="V8:W8"/>
    <mergeCell ref="X8:Y8"/>
    <mergeCell ref="Z8:AA8"/>
    <mergeCell ref="AB8:AC8"/>
    <mergeCell ref="AD8:AE8"/>
    <mergeCell ref="O6:P6"/>
    <mergeCell ref="Q6:S6"/>
    <mergeCell ref="AE6:AG6"/>
    <mergeCell ref="AH6:AI6"/>
    <mergeCell ref="A8:E8"/>
    <mergeCell ref="G8:H8"/>
    <mergeCell ref="K8:L8"/>
    <mergeCell ref="M8:N8"/>
    <mergeCell ref="O8:P8"/>
    <mergeCell ref="R8:S8"/>
    <mergeCell ref="O5:P5"/>
    <mergeCell ref="Q5:S5"/>
    <mergeCell ref="T5:W5"/>
    <mergeCell ref="AE5:AG5"/>
    <mergeCell ref="AH5:AI5"/>
    <mergeCell ref="C6:D6"/>
    <mergeCell ref="G6:H6"/>
    <mergeCell ref="I6:J6"/>
    <mergeCell ref="K6:L6"/>
    <mergeCell ref="M6:N6"/>
    <mergeCell ref="C5:D5"/>
    <mergeCell ref="E5:F6"/>
    <mergeCell ref="G5:H5"/>
    <mergeCell ref="I5:J5"/>
    <mergeCell ref="K5:L5"/>
    <mergeCell ref="M5:N5"/>
    <mergeCell ref="A1:D1"/>
    <mergeCell ref="E1:AE2"/>
    <mergeCell ref="AF1:AI1"/>
    <mergeCell ref="A2:D2"/>
    <mergeCell ref="AF2:AI2"/>
    <mergeCell ref="E4:F4"/>
    <mergeCell ref="G4:N4"/>
    <mergeCell ref="O4:AI4"/>
  </mergeCells>
  <pageMargins left="0.38" right="0.17" top="0.28000000000000003" bottom="0.15748031496063" header="0.15748031496063" footer="0.15748031496063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eng64</dc:creator>
  <cp:lastModifiedBy>eng64</cp:lastModifiedBy>
  <dcterms:created xsi:type="dcterms:W3CDTF">2026-05-19T04:15:00Z</dcterms:created>
  <dcterms:modified xsi:type="dcterms:W3CDTF">2026-05-19T04:20:54Z</dcterms:modified>
</cp:coreProperties>
</file>