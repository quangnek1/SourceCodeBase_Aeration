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ng64\Desktop\"/>
    </mc:Choice>
  </mc:AlternateContent>
  <bookViews>
    <workbookView xWindow="0" yWindow="0" windowWidth="28800" windowHeight="11580"/>
  </bookViews>
  <sheets>
    <sheet name="2" sheetId="2" r:id="rId1"/>
  </sheets>
  <externalReferences>
    <externalReference r:id="rId2"/>
    <externalReference r:id="rId3"/>
    <externalReference r:id="rId4"/>
    <externalReference r:id="rId5"/>
  </externalReferences>
  <definedNames>
    <definedName name="A" localSheetId="0">'[1]PLAN  PTCA'!#REF!</definedName>
    <definedName name="A">'[2]PLAN  PTCA'!#REF!</definedName>
    <definedName name="á" localSheetId="0">'[1]PLAN  PTCA'!#REF!</definedName>
    <definedName name="á">'[2]PLAN  PTCA'!#REF!</definedName>
    <definedName name="â" localSheetId="0">'[1]PLAN  PTCA'!#REF!</definedName>
    <definedName name="â">'[2]PLAN  PTCA'!#REF!</definedName>
    <definedName name="àdvbn" localSheetId="0">'[1]PLAN  PTCA'!#REF!</definedName>
    <definedName name="àdvbn">'[2]PLAN  PTCA'!#REF!</definedName>
    <definedName name="d" localSheetId="0">'[1]PLAN  PTCA'!#REF!</definedName>
    <definedName name="d">'[2]PLAN  PTCA'!#REF!</definedName>
    <definedName name="dfdgfd123" localSheetId="0">'[1]PLAN  PTCA'!#REF!</definedName>
    <definedName name="dfdgfd123">'[2]PLAN  PTCA'!#REF!</definedName>
    <definedName name="dsdsa" localSheetId="0">'[1]PLAN  PTCA'!#REF!</definedName>
    <definedName name="dsdsa">'[2]PLAN  PTCA'!#REF!</definedName>
    <definedName name="dsdsada" localSheetId="0">'[1]PLAN  PTCA'!#REF!</definedName>
    <definedName name="dsdsada">'[2]PLAN  PTCA'!#REF!</definedName>
    <definedName name="È" localSheetId="0">'[1]PLAN  PTCA'!#REF!</definedName>
    <definedName name="È">'[2]PLAN  PTCA'!#REF!</definedName>
    <definedName name="ề" localSheetId="0">'[1]PLAN  PTCA'!#REF!</definedName>
    <definedName name="ề">'[2]PLAN  PTCA'!#REF!</definedName>
    <definedName name="eratet" localSheetId="0">'[3]PLAN  PTCA'!#REF!</definedName>
    <definedName name="eratet">'[2]PLAN  PTCA'!#REF!</definedName>
    <definedName name="f" localSheetId="0">'[1]PLAN  PTCA'!#REF!</definedName>
    <definedName name="f">'[2]PLAN  PTCA'!#REF!</definedName>
    <definedName name="FEEF" localSheetId="0">'[1]PLAN  PTCA'!#REF!</definedName>
    <definedName name="FEEF">'[2]PLAN  PTCA'!#REF!</definedName>
    <definedName name="g" localSheetId="0">'[1]PLAN  PTCA'!#REF!</definedName>
    <definedName name="g">'[2]PLAN  PTCA'!#REF!</definedName>
    <definedName name="ghjjk" localSheetId="0">'[1]PLAN  PTCA'!#REF!</definedName>
    <definedName name="ghjjk">'[2]PLAN  PTCA'!#REF!</definedName>
    <definedName name="gklo" localSheetId="0">'[1]PLAN  PTCA'!#REF!</definedName>
    <definedName name="gklo">'[2]PLAN  PTCA'!#REF!</definedName>
    <definedName name="h" localSheetId="0">'[1]PLAN  PTCA'!#REF!</definedName>
    <definedName name="h">'[2]PLAN  PTCA'!#REF!</definedName>
    <definedName name="I" localSheetId="0">'[1]PLAN  PTCA'!#REF!</definedName>
    <definedName name="I">'[2]PLAN  PTCA'!#REF!</definedName>
    <definedName name="J" localSheetId="0">'[1]PLAN  PTCA'!#REF!</definedName>
    <definedName name="J">'[2]PLAN  PTCA'!#REF!</definedName>
    <definedName name="L" localSheetId="0">'[1]PLAN  PTCA'!#REF!</definedName>
    <definedName name="L">'[2]PLAN  PTCA'!#REF!</definedName>
    <definedName name="LEWGFNHG" localSheetId="0">'[1]PLAN  PTCA'!#REF!</definedName>
    <definedName name="LEWGFNHG">'[2]PLAN  PTCA'!#REF!</definedName>
    <definedName name="M" localSheetId="0">'[1]PLAN  PTCA'!#REF!</definedName>
    <definedName name="M">'[2]PLAN  PTCA'!#REF!</definedName>
    <definedName name="_xlnm.Print_Area" localSheetId="0">'2'!$A$1:$AI$48</definedName>
    <definedName name="s" localSheetId="0">'[1]PLAN  PTCA'!#REF!</definedName>
    <definedName name="s">'[2]PLAN  PTCA'!#REF!</definedName>
    <definedName name="thnm" localSheetId="0">'[1]PLAN  PTCA'!#REF!</definedName>
    <definedName name="thnm">'[2]PLAN  PTCA'!#REF!</definedName>
    <definedName name="thuo" localSheetId="0">'[1]PLAN  PTCA'!#REF!</definedName>
    <definedName name="thuo">'[2]PLAN  PTCA'!#REF!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0" i="2" l="1"/>
  <c r="X29" i="2"/>
  <c r="H28" i="2"/>
  <c r="N27" i="2"/>
  <c r="T26" i="2"/>
  <c r="AF25" i="2"/>
  <c r="M24" i="2"/>
  <c r="S23" i="2"/>
  <c r="AD22" i="2"/>
  <c r="AF21" i="2"/>
  <c r="X21" i="2"/>
  <c r="T21" i="2"/>
  <c r="L21" i="2"/>
  <c r="R20" i="2"/>
  <c r="AC19" i="2"/>
  <c r="AF18" i="2"/>
  <c r="AD18" i="2"/>
  <c r="T18" i="2"/>
  <c r="J18" i="2"/>
  <c r="AF17" i="2"/>
  <c r="AD17" i="2"/>
  <c r="AC17" i="2"/>
  <c r="X17" i="2"/>
  <c r="T17" i="2"/>
  <c r="S17" i="2"/>
  <c r="R17" i="2"/>
  <c r="M17" i="2"/>
  <c r="L17" i="2"/>
  <c r="F17" i="2"/>
  <c r="AJ17" i="2" s="1"/>
  <c r="P17" i="2"/>
  <c r="AD16" i="2"/>
  <c r="AC16" i="2"/>
  <c r="X16" i="2"/>
  <c r="S16" i="2"/>
  <c r="R16" i="2"/>
  <c r="O16" i="2"/>
  <c r="N16" i="2"/>
  <c r="M16" i="2"/>
  <c r="L16" i="2"/>
  <c r="J16" i="2"/>
  <c r="I16" i="2"/>
  <c r="H16" i="2"/>
  <c r="F16" i="2"/>
  <c r="AJ16" i="2" s="1"/>
  <c r="Y16" i="2"/>
  <c r="AD15" i="2"/>
  <c r="AC15" i="2"/>
  <c r="X15" i="2"/>
  <c r="T15" i="2"/>
  <c r="S15" i="2"/>
  <c r="R15" i="2"/>
  <c r="P15" i="2"/>
  <c r="O15" i="2"/>
  <c r="N15" i="2"/>
  <c r="M15" i="2"/>
  <c r="L15" i="2"/>
  <c r="J15" i="2"/>
  <c r="E15" i="2"/>
  <c r="I15" i="2"/>
  <c r="O14" i="2"/>
  <c r="X13" i="2"/>
  <c r="H12" i="2"/>
  <c r="N11" i="2"/>
  <c r="AD19" i="2" l="1"/>
  <c r="J12" i="2"/>
  <c r="AF19" i="2"/>
  <c r="S19" i="2"/>
  <c r="X22" i="2"/>
  <c r="T19" i="2"/>
  <c r="AF22" i="2"/>
  <c r="I12" i="2"/>
  <c r="L12" i="2"/>
  <c r="M12" i="2"/>
  <c r="O25" i="2"/>
  <c r="N12" i="2"/>
  <c r="F21" i="2"/>
  <c r="AJ21" i="2" s="1"/>
  <c r="X25" i="2"/>
  <c r="O12" i="2"/>
  <c r="M18" i="2"/>
  <c r="H21" i="2"/>
  <c r="P12" i="2"/>
  <c r="N18" i="2"/>
  <c r="M21" i="2"/>
  <c r="O18" i="2"/>
  <c r="N21" i="2"/>
  <c r="R18" i="2"/>
  <c r="O21" i="2"/>
  <c r="E16" i="2"/>
  <c r="E17" i="2"/>
  <c r="S18" i="2"/>
  <c r="S21" i="2"/>
  <c r="I26" i="2"/>
  <c r="N23" i="2"/>
  <c r="X26" i="2"/>
  <c r="O11" i="2"/>
  <c r="AC13" i="2"/>
  <c r="M20" i="2"/>
  <c r="O27" i="2"/>
  <c r="F22" i="2"/>
  <c r="AJ22" i="2" s="1"/>
  <c r="P14" i="2"/>
  <c r="T20" i="2"/>
  <c r="H22" i="2"/>
  <c r="I22" i="2"/>
  <c r="X24" i="2"/>
  <c r="X11" i="2"/>
  <c r="X14" i="2"/>
  <c r="AF16" i="2"/>
  <c r="L19" i="2"/>
  <c r="N22" i="2"/>
  <c r="F23" i="2"/>
  <c r="AJ23" i="2" s="1"/>
  <c r="H23" i="2"/>
  <c r="H20" i="2"/>
  <c r="AF23" i="2"/>
  <c r="P11" i="2"/>
  <c r="H24" i="2"/>
  <c r="R11" i="2"/>
  <c r="S11" i="2"/>
  <c r="X20" i="2"/>
  <c r="I28" i="2"/>
  <c r="T14" i="2"/>
  <c r="I19" i="2"/>
  <c r="M22" i="2"/>
  <c r="O28" i="2"/>
  <c r="E18" i="2"/>
  <c r="AF20" i="2"/>
  <c r="F18" i="2"/>
  <c r="AJ18" i="2" s="1"/>
  <c r="M19" i="2"/>
  <c r="O22" i="2"/>
  <c r="H25" i="2"/>
  <c r="I29" i="2"/>
  <c r="H26" i="2"/>
  <c r="E20" i="2"/>
  <c r="O26" i="2"/>
  <c r="F20" i="2"/>
  <c r="AJ20" i="2" s="1"/>
  <c r="T23" i="2"/>
  <c r="E19" i="2"/>
  <c r="S20" i="2"/>
  <c r="X27" i="2"/>
  <c r="F19" i="2"/>
  <c r="AJ19" i="2" s="1"/>
  <c r="N24" i="2"/>
  <c r="R14" i="2"/>
  <c r="H19" i="2"/>
  <c r="T24" i="2"/>
  <c r="T11" i="2"/>
  <c r="AD20" i="2"/>
  <c r="L18" i="2"/>
  <c r="N19" i="2"/>
  <c r="T22" i="2"/>
  <c r="N25" i="2"/>
  <c r="Y13" i="2"/>
  <c r="Y29" i="2"/>
  <c r="P30" i="2"/>
  <c r="X23" i="2"/>
  <c r="O24" i="2"/>
  <c r="I25" i="2"/>
  <c r="Y26" i="2"/>
  <c r="P27" i="2"/>
  <c r="J28" i="2"/>
  <c r="AC29" i="2"/>
  <c r="R30" i="2"/>
  <c r="E13" i="2"/>
  <c r="AD13" i="2"/>
  <c r="S14" i="2"/>
  <c r="Y23" i="2"/>
  <c r="P24" i="2"/>
  <c r="J25" i="2"/>
  <c r="AC26" i="2"/>
  <c r="R27" i="2"/>
  <c r="L28" i="2"/>
  <c r="E29" i="2"/>
  <c r="AD29" i="2"/>
  <c r="S30" i="2"/>
  <c r="Y20" i="2"/>
  <c r="P21" i="2"/>
  <c r="J22" i="2"/>
  <c r="AC23" i="2"/>
  <c r="R24" i="2"/>
  <c r="L25" i="2"/>
  <c r="E26" i="2"/>
  <c r="AD26" i="2"/>
  <c r="S27" i="2"/>
  <c r="M28" i="2"/>
  <c r="F29" i="2"/>
  <c r="AJ29" i="2" s="1"/>
  <c r="AF29" i="2"/>
  <c r="T30" i="2"/>
  <c r="Y17" i="2"/>
  <c r="P18" i="2"/>
  <c r="J19" i="2"/>
  <c r="AC20" i="2"/>
  <c r="R21" i="2"/>
  <c r="L22" i="2"/>
  <c r="E23" i="2"/>
  <c r="AD23" i="2"/>
  <c r="S24" i="2"/>
  <c r="M25" i="2"/>
  <c r="F26" i="2"/>
  <c r="AJ26" i="2" s="1"/>
  <c r="AF26" i="2"/>
  <c r="T27" i="2"/>
  <c r="N28" i="2"/>
  <c r="H29" i="2"/>
  <c r="X30" i="2"/>
  <c r="Y30" i="2"/>
  <c r="Y27" i="2"/>
  <c r="P28" i="2"/>
  <c r="J29" i="2"/>
  <c r="AC30" i="2"/>
  <c r="I23" i="2"/>
  <c r="Y24" i="2"/>
  <c r="P25" i="2"/>
  <c r="J26" i="2"/>
  <c r="AC27" i="2"/>
  <c r="R28" i="2"/>
  <c r="L29" i="2"/>
  <c r="E30" i="2"/>
  <c r="AD30" i="2"/>
  <c r="H17" i="2"/>
  <c r="X18" i="2"/>
  <c r="O19" i="2"/>
  <c r="I20" i="2"/>
  <c r="Y21" i="2"/>
  <c r="P22" i="2"/>
  <c r="J23" i="2"/>
  <c r="AC24" i="2"/>
  <c r="R25" i="2"/>
  <c r="L26" i="2"/>
  <c r="E27" i="2"/>
  <c r="AD27" i="2"/>
  <c r="S28" i="2"/>
  <c r="M29" i="2"/>
  <c r="F30" i="2"/>
  <c r="AJ30" i="2" s="1"/>
  <c r="AF30" i="2"/>
  <c r="I13" i="2"/>
  <c r="J13" i="2"/>
  <c r="AC14" i="2"/>
  <c r="M13" i="2"/>
  <c r="F11" i="2"/>
  <c r="AJ11" i="2" s="1"/>
  <c r="AF11" i="2"/>
  <c r="T12" i="2"/>
  <c r="N13" i="2"/>
  <c r="H14" i="2"/>
  <c r="I17" i="2"/>
  <c r="Y18" i="2"/>
  <c r="P19" i="2"/>
  <c r="J20" i="2"/>
  <c r="AC21" i="2"/>
  <c r="R22" i="2"/>
  <c r="L23" i="2"/>
  <c r="E24" i="2"/>
  <c r="AD24" i="2"/>
  <c r="S25" i="2"/>
  <c r="M26" i="2"/>
  <c r="F27" i="2"/>
  <c r="AJ27" i="2" s="1"/>
  <c r="AF27" i="2"/>
  <c r="T28" i="2"/>
  <c r="N29" i="2"/>
  <c r="H30" i="2"/>
  <c r="F13" i="2"/>
  <c r="AJ13" i="2" s="1"/>
  <c r="Y14" i="2"/>
  <c r="Y11" i="2"/>
  <c r="AC11" i="2"/>
  <c r="R12" i="2"/>
  <c r="L13" i="2"/>
  <c r="E14" i="2"/>
  <c r="AD14" i="2"/>
  <c r="AD11" i="2"/>
  <c r="S12" i="2"/>
  <c r="F14" i="2"/>
  <c r="AJ14" i="2" s="1"/>
  <c r="AF14" i="2"/>
  <c r="H11" i="2"/>
  <c r="X12" i="2"/>
  <c r="O13" i="2"/>
  <c r="I14" i="2"/>
  <c r="Y15" i="2"/>
  <c r="P16" i="2"/>
  <c r="J17" i="2"/>
  <c r="AC18" i="2"/>
  <c r="R19" i="2"/>
  <c r="L20" i="2"/>
  <c r="E21" i="2"/>
  <c r="AD21" i="2"/>
  <c r="S22" i="2"/>
  <c r="M23" i="2"/>
  <c r="F24" i="2"/>
  <c r="AJ24" i="2" s="1"/>
  <c r="AF24" i="2"/>
  <c r="T25" i="2"/>
  <c r="N26" i="2"/>
  <c r="H27" i="2"/>
  <c r="X28" i="2"/>
  <c r="O29" i="2"/>
  <c r="I30" i="2"/>
  <c r="I27" i="2"/>
  <c r="Y28" i="2"/>
  <c r="P29" i="2"/>
  <c r="J30" i="2"/>
  <c r="Y25" i="2"/>
  <c r="P26" i="2"/>
  <c r="J27" i="2"/>
  <c r="AC28" i="2"/>
  <c r="R29" i="2"/>
  <c r="L30" i="2"/>
  <c r="O23" i="2"/>
  <c r="I24" i="2"/>
  <c r="L11" i="2"/>
  <c r="AD12" i="2"/>
  <c r="S13" i="2"/>
  <c r="M14" i="2"/>
  <c r="F15" i="2"/>
  <c r="AJ15" i="2" s="1"/>
  <c r="AF15" i="2"/>
  <c r="T16" i="2"/>
  <c r="N17" i="2"/>
  <c r="H18" i="2"/>
  <c r="X19" i="2"/>
  <c r="O20" i="2"/>
  <c r="I21" i="2"/>
  <c r="Y22" i="2"/>
  <c r="P23" i="2"/>
  <c r="J24" i="2"/>
  <c r="AC25" i="2"/>
  <c r="R26" i="2"/>
  <c r="L27" i="2"/>
  <c r="E28" i="2"/>
  <c r="AD28" i="2"/>
  <c r="S29" i="2"/>
  <c r="M30" i="2"/>
  <c r="H13" i="2"/>
  <c r="Y12" i="2"/>
  <c r="P13" i="2"/>
  <c r="J14" i="2"/>
  <c r="J11" i="2"/>
  <c r="AC12" i="2"/>
  <c r="R13" i="2"/>
  <c r="L14" i="2"/>
  <c r="N20" i="2"/>
  <c r="M11" i="2"/>
  <c r="F12" i="2"/>
  <c r="AJ12" i="2" s="1"/>
  <c r="AF12" i="2"/>
  <c r="T13" i="2"/>
  <c r="N14" i="2"/>
  <c r="H15" i="2"/>
  <c r="Y19" i="2"/>
  <c r="P20" i="2"/>
  <c r="J21" i="2"/>
  <c r="AC22" i="2"/>
  <c r="R23" i="2"/>
  <c r="L24" i="2"/>
  <c r="E25" i="2"/>
  <c r="AD25" i="2"/>
  <c r="S26" i="2"/>
  <c r="M27" i="2"/>
  <c r="F28" i="2"/>
  <c r="AJ28" i="2" s="1"/>
  <c r="AF28" i="2"/>
  <c r="T29" i="2"/>
  <c r="N30" i="2"/>
  <c r="AF13" i="2"/>
  <c r="I11" i="2"/>
  <c r="O17" i="2"/>
  <c r="I18" i="2"/>
  <c r="E22" i="2"/>
  <c r="F25" i="2"/>
  <c r="AJ25" i="2" s="1"/>
  <c r="AH45" i="2" l="1"/>
  <c r="U44" i="2"/>
  <c r="G8" i="2"/>
  <c r="I6" i="2"/>
  <c r="AE46" i="2" l="1"/>
  <c r="AB46" i="2"/>
  <c r="AE45" i="2"/>
  <c r="AB45" i="2"/>
</calcChain>
</file>

<file path=xl/sharedStrings.xml><?xml version="1.0" encoding="utf-8"?>
<sst xmlns="http://schemas.openxmlformats.org/spreadsheetml/2006/main" count="105" uniqueCount="97">
  <si>
    <t>DIV / SECTION</t>
  </si>
  <si>
    <t>STERILIZATION - QA - PACKING PRODUCTION PLAN</t>
  </si>
  <si>
    <t>F - 6112 Ver 7</t>
  </si>
  <si>
    <t>GPC/  Order control</t>
  </si>
  <si>
    <t xml:space="preserve">         Page:    </t>
  </si>
  <si>
    <t>Plan request</t>
  </si>
  <si>
    <t>QR code</t>
  </si>
  <si>
    <t>PR leader check</t>
  </si>
  <si>
    <t>Production result</t>
  </si>
  <si>
    <t>Sterilize date :</t>
  </si>
  <si>
    <t>Sterilize 
M/C</t>
  </si>
  <si>
    <t>PCD type:</t>
  </si>
  <si>
    <t>Q'ty BI</t>
  </si>
  <si>
    <t>Check by</t>
  </si>
  <si>
    <t xml:space="preserve"> Sterilize M/C</t>
  </si>
  <si>
    <t>Batch No</t>
  </si>
  <si>
    <t xml:space="preserve">            Car No.        </t>
  </si>
  <si>
    <t xml:space="preserve">Start: Date       </t>
  </si>
  <si>
    <t>Time:</t>
  </si>
  <si>
    <t>Kết quả xác nhận khử trùng đúng máy</t>
  </si>
  <si>
    <t>Operator</t>
  </si>
  <si>
    <t>Batch No     :</t>
  </si>
  <si>
    <t>M2-1</t>
  </si>
  <si>
    <t xml:space="preserve">Finish: Date  </t>
  </si>
  <si>
    <t>OK    /   NG</t>
  </si>
  <si>
    <t>Product type</t>
  </si>
  <si>
    <t xml:space="preserve"> PTCA: </t>
  </si>
  <si>
    <t xml:space="preserve"> PLGW:</t>
  </si>
  <si>
    <t>ESGW:</t>
  </si>
  <si>
    <t>Tonus ES:</t>
  </si>
  <si>
    <t>Endoligar:</t>
  </si>
  <si>
    <t xml:space="preserve"> Hyperion:</t>
  </si>
  <si>
    <t xml:space="preserve"> CAG:</t>
  </si>
  <si>
    <t>Other:</t>
  </si>
  <si>
    <t>No</t>
  </si>
  <si>
    <t>Product information</t>
  </si>
  <si>
    <t>Number of Sterilize</t>
  </si>
  <si>
    <t>Attach label</t>
  </si>
  <si>
    <t>Q'ty test</t>
  </si>
  <si>
    <t>Sealing</t>
  </si>
  <si>
    <t>Sterilize</t>
  </si>
  <si>
    <t>Boxing</t>
  </si>
  <si>
    <t>Inspection process</t>
  </si>
  <si>
    <t>Delivery date plan</t>
  </si>
  <si>
    <t>Group
( China Only)</t>
  </si>
  <si>
    <t>Packing process</t>
  </si>
  <si>
    <t>Number rank</t>
  </si>
  <si>
    <t>Material</t>
  </si>
  <si>
    <t>Drawing list no</t>
  </si>
  <si>
    <t>Item name/
Description</t>
  </si>
  <si>
    <t>Destination</t>
  </si>
  <si>
    <t>Internal Lot
(SAP Lot)</t>
  </si>
  <si>
    <t>External Lot 1
(Hanoi Lot)</t>
  </si>
  <si>
    <t>Q'ty
(Input)</t>
  </si>
  <si>
    <t>A 
(EB1- 0331)</t>
  </si>
  <si>
    <t>B
 (EB1-1087)</t>
  </si>
  <si>
    <t>C
( EB1-1302)</t>
  </si>
  <si>
    <t>D
( EB1-2544)</t>
  </si>
  <si>
    <t>Status
(V)</t>
  </si>
  <si>
    <t>Biobudent</t>
  </si>
  <si>
    <t>Endotoxin</t>
  </si>
  <si>
    <t>Particle</t>
  </si>
  <si>
    <t>Q'ty 
Out put</t>
  </si>
  <si>
    <t>Gauge 
No</t>
  </si>
  <si>
    <t>Q'ty
Features
 test</t>
  </si>
  <si>
    <t>Keep Aeration (day)</t>
  </si>
  <si>
    <t xml:space="preserve">Judment result
</t>
  </si>
  <si>
    <t>Keep sample</t>
  </si>
  <si>
    <t>Stock in q'ty</t>
  </si>
  <si>
    <t>Stock in 
by</t>
  </si>
  <si>
    <t>Remark:\
Vị trí keep Aeration:</t>
  </si>
  <si>
    <t>Xác nhận thời gian sản phẩm cần phải AERATION. 
Ghi chép thông tin vào ô bên cạnh .
Relate document :
AVPE-1123 Ver.: ……..…….</t>
  </si>
  <si>
    <t>Status</t>
  </si>
  <si>
    <t>Plan</t>
  </si>
  <si>
    <t>By</t>
  </si>
  <si>
    <t>Actual</t>
  </si>
  <si>
    <t>Xác nhận đủ thời gian aeration</t>
  </si>
  <si>
    <t>Date</t>
  </si>
  <si>
    <t>Time</t>
  </si>
  <si>
    <t>Start</t>
  </si>
  <si>
    <t>OK    /     NG</t>
  </si>
  <si>
    <t>Finish</t>
  </si>
  <si>
    <t>* E-Form</t>
  </si>
  <si>
    <t>QA/ BIO</t>
  </si>
  <si>
    <t>Check sản phẩm test Endotoxin:  Yes /  No     Check by :</t>
  </si>
  <si>
    <t>Relate to document: AVPE-0120, AVPE-0406,  AVPC-0100</t>
  </si>
  <si>
    <t>Confirmed by</t>
  </si>
  <si>
    <t>(Mục " Destination" là kí tự " USA;Abbott; Australia;China")</t>
  </si>
  <si>
    <t>Đối với sản phẩm thực hiện Test Endotoxin , sau khi khử trùng xong sẽ chuyển F-6112 cùng BI cho BIO</t>
  </si>
  <si>
    <t>Thời điểm test</t>
  </si>
  <si>
    <t>Lot test Endotoxin</t>
  </si>
  <si>
    <t>Lot test Particle</t>
  </si>
  <si>
    <t>Trước khử trùng</t>
  </si>
  <si>
    <t>Pcs</t>
  </si>
  <si>
    <t>Sau khử trùng</t>
  </si>
  <si>
    <t>ASAHI INTECC HA NOI CO., LTD</t>
    <phoneticPr fontId="0" type="noConversion"/>
  </si>
  <si>
    <t>Effective date: 19-NOV-2025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</si>
</sst>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[$-409]dd\-mmm\-yy;@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rgb="FF000000"/>
      <name val="Calibri"/>
      <family val="2"/>
    </font>
    <font>
      <sz val="11"/>
      <name val="Arial"/>
      <family val="2"/>
    </font>
    <font>
      <sz val="11"/>
      <name val="Times New Roman"/>
      <family val="1"/>
    </font>
    <font>
      <sz val="24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sz val="14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0"/>
      <color theme="0"/>
      <name val="Times New Roman"/>
      <family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 style="hair">
        <color indexed="64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</cellStyleXfs>
  <cellXfs count="329">
    <xf numFmtId="0" fontId="0" fillId="0" borderId="0" xfId="0"/>
    <xf numFmtId="0" fontId="1" fillId="0" borderId="0" xfId="2"/>
    <xf numFmtId="0" fontId="1" fillId="0" borderId="0" xfId="2" applyAlignment="1">
      <alignment horizontal="center" vertical="center"/>
    </xf>
    <xf numFmtId="0" fontId="1" fillId="0" borderId="7" xfId="2" applyBorder="1"/>
    <xf numFmtId="0" fontId="1" fillId="0" borderId="8" xfId="2" applyBorder="1"/>
    <xf numFmtId="0" fontId="6" fillId="0" borderId="4" xfId="2" applyFont="1" applyBorder="1" applyAlignment="1">
      <alignment vertical="center"/>
    </xf>
    <xf numFmtId="0" fontId="6" fillId="0" borderId="9" xfId="2" applyFont="1" applyBorder="1" applyAlignment="1">
      <alignment vertical="center"/>
    </xf>
    <xf numFmtId="0" fontId="6" fillId="0" borderId="10" xfId="2" applyFont="1" applyBorder="1" applyAlignment="1">
      <alignment vertical="center"/>
    </xf>
    <xf numFmtId="0" fontId="6" fillId="0" borderId="11" xfId="2" applyFont="1" applyBorder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 vertical="center"/>
    </xf>
    <xf numFmtId="0" fontId="7" fillId="0" borderId="13" xfId="2" applyFont="1" applyBorder="1" applyAlignment="1">
      <alignment horizontal="left" vertical="center"/>
    </xf>
    <xf numFmtId="0" fontId="7" fillId="0" borderId="14" xfId="2" applyFont="1" applyBorder="1" applyAlignment="1">
      <alignment vertical="center"/>
    </xf>
    <xf numFmtId="0" fontId="7" fillId="0" borderId="15" xfId="2" applyFont="1" applyBorder="1" applyAlignment="1">
      <alignment vertical="center"/>
    </xf>
    <xf numFmtId="16" fontId="7" fillId="0" borderId="15" xfId="2" applyNumberFormat="1" applyFont="1" applyBorder="1" applyAlignment="1">
      <alignment vertical="center" wrapText="1"/>
    </xf>
    <xf numFmtId="16" fontId="10" fillId="0" borderId="15" xfId="2" applyNumberFormat="1" applyFont="1" applyBorder="1" applyAlignment="1">
      <alignment vertical="center" wrapText="1"/>
    </xf>
    <xf numFmtId="0" fontId="7" fillId="0" borderId="21" xfId="2" applyFont="1" applyBorder="1" applyAlignment="1">
      <alignment horizontal="left" vertical="center"/>
    </xf>
    <xf numFmtId="0" fontId="7" fillId="0" borderId="22" xfId="2" applyFont="1" applyBorder="1" applyAlignment="1">
      <alignment horizontal="center" vertical="center"/>
    </xf>
    <xf numFmtId="0" fontId="7" fillId="2" borderId="27" xfId="2" applyFont="1" applyFill="1" applyBorder="1" applyAlignment="1">
      <alignment horizontal="center" vertical="center"/>
    </xf>
    <xf numFmtId="0" fontId="7" fillId="2" borderId="28" xfId="2" applyFont="1" applyFill="1" applyBorder="1" applyAlignment="1">
      <alignment horizontal="center" vertical="center"/>
    </xf>
    <xf numFmtId="0" fontId="7" fillId="2" borderId="29" xfId="2" applyFont="1" applyFill="1" applyBorder="1" applyAlignment="1">
      <alignment horizontal="center" vertical="center"/>
    </xf>
    <xf numFmtId="0" fontId="7" fillId="0" borderId="30" xfId="2" applyFont="1" applyBorder="1" applyAlignment="1">
      <alignment vertical="center"/>
    </xf>
    <xf numFmtId="0" fontId="7" fillId="0" borderId="26" xfId="2" applyFont="1" applyBorder="1" applyAlignment="1">
      <alignment vertical="center"/>
    </xf>
    <xf numFmtId="0" fontId="7" fillId="0" borderId="23" xfId="2" applyFont="1" applyBorder="1" applyAlignment="1">
      <alignment vertical="center"/>
    </xf>
    <xf numFmtId="0" fontId="7" fillId="0" borderId="7" xfId="2" applyFont="1" applyBorder="1"/>
    <xf numFmtId="0" fontId="7" fillId="0" borderId="0" xfId="2" applyFont="1"/>
    <xf numFmtId="0" fontId="7" fillId="0" borderId="25" xfId="2" applyFont="1" applyBorder="1"/>
    <xf numFmtId="0" fontId="9" fillId="3" borderId="35" xfId="2" applyFont="1" applyFill="1" applyBorder="1" applyAlignment="1"/>
    <xf numFmtId="0" fontId="9" fillId="3" borderId="35" xfId="3" applyFont="1" applyFill="1" applyBorder="1" applyAlignment="1">
      <alignment shrinkToFit="1"/>
    </xf>
    <xf numFmtId="0" fontId="9" fillId="3" borderId="33" xfId="3" applyFont="1" applyFill="1" applyBorder="1" applyAlignment="1">
      <alignment shrinkToFit="1"/>
    </xf>
    <xf numFmtId="0" fontId="9" fillId="3" borderId="34" xfId="4" applyFont="1" applyFill="1" applyBorder="1" applyAlignment="1">
      <alignment horizontal="center" shrinkToFit="1"/>
    </xf>
    <xf numFmtId="0" fontId="11" fillId="0" borderId="0" xfId="2" applyFont="1" applyAlignment="1">
      <alignment horizontal="center"/>
    </xf>
    <xf numFmtId="0" fontId="11" fillId="0" borderId="0" xfId="2" applyFont="1" applyAlignment="1">
      <alignment horizontal="center" vertical="center"/>
    </xf>
    <xf numFmtId="0" fontId="11" fillId="4" borderId="0" xfId="2" applyFont="1" applyFill="1" applyAlignment="1">
      <alignment horizontal="center" vertical="center"/>
    </xf>
    <xf numFmtId="0" fontId="4" fillId="2" borderId="9" xfId="1" applyFont="1" applyFill="1" applyBorder="1" applyAlignment="1" applyProtection="1">
      <alignment horizontal="center" vertical="center" wrapText="1"/>
      <protection locked="0"/>
    </xf>
    <xf numFmtId="0" fontId="4" fillId="2" borderId="5" xfId="1" applyFont="1" applyFill="1" applyBorder="1" applyAlignment="1" applyProtection="1">
      <alignment horizontal="center" vertical="center" wrapText="1"/>
      <protection locked="0"/>
    </xf>
    <xf numFmtId="0" fontId="7" fillId="2" borderId="5" xfId="2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vertical="center"/>
    </xf>
    <xf numFmtId="2" fontId="4" fillId="2" borderId="5" xfId="7" applyNumberFormat="1" applyFont="1" applyFill="1" applyBorder="1" applyAlignment="1">
      <alignment horizontal="center" vertical="center" wrapText="1"/>
    </xf>
    <xf numFmtId="0" fontId="4" fillId="0" borderId="37" xfId="1" applyFont="1" applyBorder="1" applyAlignment="1" applyProtection="1">
      <alignment horizontal="center" vertical="center" wrapText="1"/>
      <protection locked="0"/>
    </xf>
    <xf numFmtId="0" fontId="4" fillId="0" borderId="5" xfId="1" applyFont="1" applyBorder="1" applyAlignment="1" applyProtection="1">
      <alignment horizontal="center" vertical="center" wrapText="1"/>
      <protection locked="0"/>
    </xf>
    <xf numFmtId="0" fontId="13" fillId="2" borderId="38" xfId="1" applyFont="1" applyFill="1" applyBorder="1" applyAlignment="1" applyProtection="1">
      <alignment horizontal="center" vertical="center" wrapText="1"/>
      <protection locked="0"/>
    </xf>
    <xf numFmtId="0" fontId="4" fillId="3" borderId="5" xfId="1" applyFont="1" applyFill="1" applyBorder="1" applyAlignment="1" applyProtection="1">
      <alignment horizontal="center" vertical="center" wrapText="1"/>
      <protection locked="0"/>
    </xf>
    <xf numFmtId="0" fontId="7" fillId="0" borderId="13" xfId="2" applyFont="1" applyBorder="1" applyAlignment="1">
      <alignment horizontal="center"/>
    </xf>
    <xf numFmtId="0" fontId="7" fillId="0" borderId="39" xfId="3" applyFont="1" applyBorder="1" applyAlignment="1">
      <alignment horizontal="center" shrinkToFit="1"/>
    </xf>
    <xf numFmtId="0" fontId="7" fillId="0" borderId="40" xfId="3" quotePrefix="1" applyFont="1" applyBorder="1" applyAlignment="1">
      <alignment horizontal="center" shrinkToFit="1"/>
    </xf>
    <xf numFmtId="0" fontId="7" fillId="0" borderId="42" xfId="3" applyFont="1" applyBorder="1" applyAlignment="1">
      <alignment horizontal="center" shrinkToFit="1"/>
    </xf>
    <xf numFmtId="0" fontId="7" fillId="0" borderId="39" xfId="4" applyFont="1" applyBorder="1" applyAlignment="1">
      <alignment horizontal="center" shrinkToFit="1"/>
    </xf>
    <xf numFmtId="0" fontId="7" fillId="0" borderId="43" xfId="2" applyFont="1" applyBorder="1" applyAlignment="1">
      <alignment horizontal="center" shrinkToFit="1"/>
    </xf>
    <xf numFmtId="0" fontId="7" fillId="2" borderId="39" xfId="2" applyFont="1" applyFill="1" applyBorder="1" applyAlignment="1">
      <alignment horizontal="center" shrinkToFit="1"/>
    </xf>
    <xf numFmtId="0" fontId="7" fillId="2" borderId="39" xfId="4" applyFont="1" applyFill="1" applyBorder="1" applyAlignment="1">
      <alignment horizontal="center" shrinkToFit="1"/>
    </xf>
    <xf numFmtId="0" fontId="10" fillId="0" borderId="39" xfId="3" applyFont="1" applyFill="1" applyBorder="1" applyAlignment="1">
      <alignment horizontal="center" vertical="center" shrinkToFit="1"/>
    </xf>
    <xf numFmtId="0" fontId="7" fillId="2" borderId="39" xfId="5" applyFont="1" applyFill="1" applyBorder="1" applyAlignment="1">
      <alignment horizontal="center" shrinkToFit="1"/>
    </xf>
    <xf numFmtId="0" fontId="7" fillId="2" borderId="39" xfId="3" applyFont="1" applyFill="1" applyBorder="1" applyAlignment="1">
      <alignment horizontal="center" shrinkToFit="1"/>
    </xf>
    <xf numFmtId="0" fontId="7" fillId="2" borderId="39" xfId="8" applyFont="1" applyFill="1" applyBorder="1" applyAlignment="1">
      <alignment horizontal="center" shrinkToFit="1"/>
    </xf>
    <xf numFmtId="0" fontId="7" fillId="0" borderId="39" xfId="8" applyFont="1" applyBorder="1" applyAlignment="1">
      <alignment horizontal="center" shrinkToFit="1"/>
    </xf>
    <xf numFmtId="0" fontId="10" fillId="0" borderId="44" xfId="3" applyFont="1" applyFill="1" applyBorder="1" applyAlignment="1">
      <alignment horizontal="center" vertical="center" shrinkToFit="1"/>
    </xf>
    <xf numFmtId="0" fontId="7" fillId="0" borderId="39" xfId="6" applyFont="1" applyBorder="1" applyAlignment="1">
      <alignment horizontal="center" shrinkToFit="1"/>
    </xf>
    <xf numFmtId="0" fontId="7" fillId="0" borderId="46" xfId="2" applyFont="1" applyBorder="1" applyAlignment="1">
      <alignment horizontal="center"/>
    </xf>
    <xf numFmtId="0" fontId="10" fillId="0" borderId="43" xfId="3" applyFont="1" applyFill="1" applyBorder="1" applyAlignment="1">
      <alignment horizontal="center" vertical="center" shrinkToFit="1"/>
    </xf>
    <xf numFmtId="0" fontId="7" fillId="0" borderId="40" xfId="3" quotePrefix="1" applyFont="1" applyFill="1" applyBorder="1" applyAlignment="1">
      <alignment horizontal="center" shrinkToFit="1"/>
    </xf>
    <xf numFmtId="0" fontId="7" fillId="0" borderId="40" xfId="6" applyFont="1" applyBorder="1" applyAlignment="1">
      <alignment horizontal="center" shrinkToFit="1"/>
    </xf>
    <xf numFmtId="0" fontId="7" fillId="0" borderId="45" xfId="6" applyFont="1" applyBorder="1" applyAlignment="1">
      <alignment horizontal="center" shrinkToFit="1"/>
    </xf>
    <xf numFmtId="0" fontId="7" fillId="0" borderId="39" xfId="3" applyFont="1" applyBorder="1" applyAlignment="1">
      <alignment horizontal="center" vertical="center" shrinkToFit="1"/>
    </xf>
    <xf numFmtId="0" fontId="10" fillId="0" borderId="39" xfId="4" applyFont="1" applyBorder="1" applyAlignment="1">
      <alignment horizontal="center" shrinkToFit="1"/>
    </xf>
    <xf numFmtId="0" fontId="10" fillId="0" borderId="39" xfId="3" applyFont="1" applyBorder="1" applyAlignment="1">
      <alignment horizontal="center" vertical="center" shrinkToFit="1"/>
    </xf>
    <xf numFmtId="0" fontId="10" fillId="2" borderId="39" xfId="5" applyFont="1" applyFill="1" applyBorder="1" applyAlignment="1">
      <alignment horizontal="center" shrinkToFit="1"/>
    </xf>
    <xf numFmtId="0" fontId="10" fillId="0" borderId="39" xfId="8" applyFont="1" applyBorder="1" applyAlignment="1">
      <alignment horizontal="center" shrinkToFit="1"/>
    </xf>
    <xf numFmtId="0" fontId="10" fillId="0" borderId="39" xfId="3" applyFont="1" applyBorder="1" applyAlignment="1">
      <alignment horizontal="center" shrinkToFit="1"/>
    </xf>
    <xf numFmtId="0" fontId="10" fillId="0" borderId="39" xfId="6" applyFont="1" applyBorder="1" applyAlignment="1">
      <alignment horizontal="center" shrinkToFit="1"/>
    </xf>
    <xf numFmtId="0" fontId="10" fillId="0" borderId="47" xfId="4" applyFont="1" applyBorder="1" applyAlignment="1">
      <alignment horizontal="center" shrinkToFit="1"/>
    </xf>
    <xf numFmtId="0" fontId="10" fillId="0" borderId="47" xfId="3" applyFont="1" applyBorder="1" applyAlignment="1">
      <alignment horizontal="center" vertical="center" shrinkToFit="1"/>
    </xf>
    <xf numFmtId="0" fontId="10" fillId="2" borderId="47" xfId="5" applyFont="1" applyFill="1" applyBorder="1" applyAlignment="1">
      <alignment horizontal="center" shrinkToFit="1"/>
    </xf>
    <xf numFmtId="0" fontId="10" fillId="0" borderId="47" xfId="8" applyFont="1" applyBorder="1" applyAlignment="1">
      <alignment horizontal="center" shrinkToFit="1"/>
    </xf>
    <xf numFmtId="0" fontId="10" fillId="0" borderId="47" xfId="3" applyFont="1" applyBorder="1" applyAlignment="1">
      <alignment horizontal="center" shrinkToFit="1"/>
    </xf>
    <xf numFmtId="0" fontId="10" fillId="0" borderId="47" xfId="6" applyFont="1" applyBorder="1" applyAlignment="1">
      <alignment horizontal="center" shrinkToFit="1"/>
    </xf>
    <xf numFmtId="0" fontId="7" fillId="0" borderId="49" xfId="2" applyFont="1" applyBorder="1" applyAlignment="1"/>
    <xf numFmtId="0" fontId="7" fillId="0" borderId="10" xfId="2" applyFont="1" applyBorder="1" applyAlignment="1"/>
    <xf numFmtId="0" fontId="7" fillId="0" borderId="12" xfId="2" applyFont="1" applyBorder="1" applyAlignment="1"/>
    <xf numFmtId="0" fontId="14" fillId="2" borderId="25" xfId="2" applyFont="1" applyFill="1" applyBorder="1" applyAlignment="1">
      <alignment horizontal="center" vertical="center" wrapText="1"/>
    </xf>
    <xf numFmtId="0" fontId="14" fillId="2" borderId="55" xfId="2" applyFont="1" applyFill="1" applyBorder="1" applyAlignment="1">
      <alignment horizontal="center" vertical="center" wrapText="1"/>
    </xf>
    <xf numFmtId="0" fontId="14" fillId="2" borderId="0" xfId="2" applyFont="1" applyFill="1" applyAlignment="1">
      <alignment vertical="center"/>
    </xf>
    <xf numFmtId="0" fontId="14" fillId="2" borderId="40" xfId="2" applyFont="1" applyFill="1" applyBorder="1" applyAlignment="1">
      <alignment vertical="center"/>
    </xf>
    <xf numFmtId="0" fontId="14" fillId="2" borderId="55" xfId="2" applyFont="1" applyFill="1" applyBorder="1" applyAlignment="1">
      <alignment vertical="center"/>
    </xf>
    <xf numFmtId="0" fontId="14" fillId="2" borderId="23" xfId="2" applyFont="1" applyFill="1" applyBorder="1" applyAlignment="1">
      <alignment horizontal="center" vertical="center" wrapText="1"/>
    </xf>
    <xf numFmtId="0" fontId="14" fillId="2" borderId="25" xfId="2" applyFont="1" applyFill="1" applyBorder="1" applyAlignment="1">
      <alignment vertical="center"/>
    </xf>
    <xf numFmtId="0" fontId="14" fillId="2" borderId="26" xfId="2" applyFont="1" applyFill="1" applyBorder="1" applyAlignment="1">
      <alignment vertical="center"/>
    </xf>
    <xf numFmtId="0" fontId="14" fillId="2" borderId="23" xfId="2" applyFont="1" applyFill="1" applyBorder="1" applyAlignment="1">
      <alignment vertical="center"/>
    </xf>
    <xf numFmtId="0" fontId="10" fillId="0" borderId="7" xfId="2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0" xfId="2" applyFont="1" applyAlignment="1">
      <alignment horizontal="left" vertical="center"/>
    </xf>
    <xf numFmtId="0" fontId="10" fillId="0" borderId="0" xfId="2" applyFont="1" applyAlignment="1">
      <alignment vertical="center"/>
    </xf>
    <xf numFmtId="0" fontId="10" fillId="0" borderId="8" xfId="2" applyFont="1" applyBorder="1" applyAlignment="1">
      <alignment vertical="center"/>
    </xf>
    <xf numFmtId="0" fontId="0" fillId="0" borderId="0" xfId="2" applyFont="1"/>
    <xf numFmtId="0" fontId="13" fillId="2" borderId="57" xfId="1" applyFont="1" applyFill="1" applyBorder="1" applyAlignment="1">
      <alignment horizontal="left" vertical="center"/>
    </xf>
    <xf numFmtId="0" fontId="13" fillId="2" borderId="25" xfId="1" applyFont="1" applyFill="1" applyBorder="1"/>
    <xf numFmtId="0" fontId="13" fillId="2" borderId="25" xfId="1" applyFont="1" applyFill="1" applyBorder="1" applyAlignment="1">
      <alignment horizontal="center"/>
    </xf>
    <xf numFmtId="0" fontId="13" fillId="2" borderId="25" xfId="1" applyFont="1" applyFill="1" applyBorder="1" applyProtection="1">
      <protection locked="0"/>
    </xf>
    <xf numFmtId="0" fontId="13" fillId="2" borderId="25" xfId="1" applyFont="1" applyFill="1" applyBorder="1" applyAlignment="1" applyProtection="1">
      <alignment horizontal="center"/>
      <protection locked="0"/>
    </xf>
    <xf numFmtId="0" fontId="13" fillId="2" borderId="25" xfId="1" applyFont="1" applyFill="1" applyBorder="1" applyAlignment="1" applyProtection="1">
      <alignment horizontal="center" vertical="center"/>
      <protection locked="0"/>
    </xf>
    <xf numFmtId="165" fontId="13" fillId="2" borderId="25" xfId="1" applyNumberFormat="1" applyFont="1" applyFill="1" applyBorder="1" applyProtection="1">
      <protection locked="0"/>
    </xf>
    <xf numFmtId="0" fontId="13" fillId="2" borderId="25" xfId="1" applyFont="1" applyFill="1" applyBorder="1" applyAlignment="1" applyProtection="1">
      <alignment horizontal="right"/>
      <protection locked="0"/>
    </xf>
    <xf numFmtId="0" fontId="13" fillId="2" borderId="25" xfId="1" applyFont="1" applyFill="1" applyBorder="1" applyAlignment="1" applyProtection="1">
      <alignment horizontal="left" vertical="center"/>
      <protection locked="0"/>
    </xf>
    <xf numFmtId="164" fontId="13" fillId="2" borderId="25" xfId="1" applyNumberFormat="1" applyFont="1" applyFill="1" applyBorder="1" applyProtection="1">
      <protection locked="0"/>
    </xf>
    <xf numFmtId="0" fontId="13" fillId="2" borderId="54" xfId="1" applyFont="1" applyFill="1" applyBorder="1" applyProtection="1">
      <protection locked="0"/>
    </xf>
    <xf numFmtId="0" fontId="13" fillId="2" borderId="0" xfId="1" applyFont="1" applyFill="1" applyProtection="1">
      <protection locked="0"/>
    </xf>
    <xf numFmtId="0" fontId="13" fillId="2" borderId="50" xfId="1" applyFont="1" applyFill="1" applyBorder="1" applyProtection="1">
      <protection locked="0"/>
    </xf>
    <xf numFmtId="0" fontId="15" fillId="2" borderId="18" xfId="1" applyFont="1" applyFill="1" applyBorder="1"/>
    <xf numFmtId="0" fontId="13" fillId="2" borderId="18" xfId="1" applyFont="1" applyFill="1" applyBorder="1" applyAlignment="1">
      <alignment horizontal="center"/>
    </xf>
    <xf numFmtId="0" fontId="13" fillId="2" borderId="18" xfId="1" applyFont="1" applyFill="1" applyBorder="1"/>
    <xf numFmtId="0" fontId="13" fillId="2" borderId="18" xfId="1" applyFont="1" applyFill="1" applyBorder="1" applyProtection="1">
      <protection locked="0"/>
    </xf>
    <xf numFmtId="0" fontId="13" fillId="2" borderId="18" xfId="1" applyFont="1" applyFill="1" applyBorder="1" applyAlignment="1" applyProtection="1">
      <alignment horizontal="center"/>
      <protection locked="0"/>
    </xf>
    <xf numFmtId="0" fontId="16" fillId="2" borderId="18" xfId="1" applyFont="1" applyFill="1" applyBorder="1" applyAlignment="1" applyProtection="1">
      <alignment vertical="center" wrapText="1"/>
      <protection locked="0"/>
    </xf>
    <xf numFmtId="0" fontId="16" fillId="2" borderId="19" xfId="1" applyFont="1" applyFill="1" applyBorder="1" applyAlignment="1" applyProtection="1">
      <alignment vertical="center" wrapText="1"/>
      <protection locked="0"/>
    </xf>
    <xf numFmtId="165" fontId="13" fillId="0" borderId="17" xfId="1" applyNumberFormat="1" applyFont="1" applyBorder="1" applyProtection="1">
      <protection locked="0"/>
    </xf>
    <xf numFmtId="0" fontId="13" fillId="0" borderId="18" xfId="1" applyFont="1" applyBorder="1" applyProtection="1">
      <protection locked="0"/>
    </xf>
    <xf numFmtId="164" fontId="13" fillId="0" borderId="18" xfId="1" applyNumberFormat="1" applyFont="1" applyBorder="1" applyProtection="1">
      <protection locked="0"/>
    </xf>
    <xf numFmtId="0" fontId="13" fillId="0" borderId="51" xfId="1" applyFont="1" applyBorder="1" applyProtection="1">
      <protection locked="0"/>
    </xf>
    <xf numFmtId="1" fontId="15" fillId="2" borderId="7" xfId="1" applyNumberFormat="1" applyFont="1" applyFill="1" applyBorder="1"/>
    <xf numFmtId="0" fontId="15" fillId="2" borderId="0" xfId="1" applyFont="1" applyFill="1"/>
    <xf numFmtId="0" fontId="13" fillId="2" borderId="0" xfId="1" applyFont="1" applyFill="1" applyAlignment="1">
      <alignment horizontal="center"/>
    </xf>
    <xf numFmtId="0" fontId="13" fillId="2" borderId="0" xfId="1" applyFont="1" applyFill="1"/>
    <xf numFmtId="0" fontId="13" fillId="2" borderId="0" xfId="1" applyFont="1" applyFill="1" applyAlignment="1" applyProtection="1">
      <alignment horizontal="center"/>
      <protection locked="0"/>
    </xf>
    <xf numFmtId="0" fontId="16" fillId="2" borderId="0" xfId="1" applyFont="1" applyFill="1" applyAlignment="1" applyProtection="1">
      <alignment vertical="center" wrapText="1"/>
      <protection locked="0"/>
    </xf>
    <xf numFmtId="0" fontId="16" fillId="2" borderId="52" xfId="1" applyFont="1" applyFill="1" applyBorder="1" applyAlignment="1" applyProtection="1">
      <alignment vertical="center" wrapText="1"/>
      <protection locked="0"/>
    </xf>
    <xf numFmtId="165" fontId="13" fillId="0" borderId="22" xfId="1" applyNumberFormat="1" applyFont="1" applyBorder="1" applyAlignment="1" applyProtection="1">
      <alignment vertical="center"/>
      <protection locked="0"/>
    </xf>
    <xf numFmtId="0" fontId="13" fillId="0" borderId="25" xfId="1" applyFont="1" applyBorder="1" applyProtection="1">
      <protection locked="0"/>
    </xf>
    <xf numFmtId="164" fontId="13" fillId="0" borderId="25" xfId="1" applyNumberFormat="1" applyFont="1" applyBorder="1" applyProtection="1">
      <protection locked="0"/>
    </xf>
    <xf numFmtId="0" fontId="13" fillId="0" borderId="54" xfId="1" applyFont="1" applyBorder="1" applyProtection="1">
      <protection locked="0"/>
    </xf>
    <xf numFmtId="165" fontId="13" fillId="2" borderId="9" xfId="1" applyNumberFormat="1" applyFont="1" applyFill="1" applyBorder="1" applyAlignment="1" applyProtection="1">
      <alignment vertical="center"/>
      <protection locked="0"/>
    </xf>
    <xf numFmtId="165" fontId="13" fillId="2" borderId="10" xfId="1" applyNumberFormat="1" applyFont="1" applyFill="1" applyBorder="1" applyAlignment="1" applyProtection="1">
      <alignment vertical="center"/>
      <protection locked="0"/>
    </xf>
    <xf numFmtId="1" fontId="15" fillId="2" borderId="7" xfId="1" applyNumberFormat="1" applyFont="1" applyFill="1" applyBorder="1" applyProtection="1">
      <protection locked="0"/>
    </xf>
    <xf numFmtId="0" fontId="15" fillId="2" borderId="0" xfId="1" applyFont="1" applyFill="1" applyProtection="1">
      <protection locked="0"/>
    </xf>
    <xf numFmtId="1" fontId="15" fillId="2" borderId="58" xfId="1" applyNumberFormat="1" applyFont="1" applyFill="1" applyBorder="1"/>
    <xf numFmtId="165" fontId="15" fillId="2" borderId="59" xfId="1" applyNumberFormat="1" applyFont="1" applyFill="1" applyBorder="1"/>
    <xf numFmtId="165" fontId="18" fillId="2" borderId="59" xfId="1" applyNumberFormat="1" applyFont="1" applyFill="1" applyBorder="1"/>
    <xf numFmtId="165" fontId="13" fillId="2" borderId="59" xfId="1" applyNumberFormat="1" applyFont="1" applyFill="1" applyBorder="1" applyAlignment="1">
      <alignment horizontal="center"/>
    </xf>
    <xf numFmtId="165" fontId="13" fillId="2" borderId="59" xfId="1" applyNumberFormat="1" applyFont="1" applyFill="1" applyBorder="1"/>
    <xf numFmtId="0" fontId="16" fillId="2" borderId="59" xfId="1" applyFont="1" applyFill="1" applyBorder="1" applyAlignment="1" applyProtection="1">
      <alignment vertical="center" wrapText="1"/>
      <protection locked="0"/>
    </xf>
    <xf numFmtId="0" fontId="16" fillId="2" borderId="60" xfId="1" applyFont="1" applyFill="1" applyBorder="1" applyAlignment="1" applyProtection="1">
      <alignment vertical="center" wrapText="1"/>
      <protection locked="0"/>
    </xf>
    <xf numFmtId="1" fontId="18" fillId="2" borderId="0" xfId="1" applyNumberFormat="1" applyFont="1" applyFill="1"/>
    <xf numFmtId="165" fontId="18" fillId="2" borderId="0" xfId="1" applyNumberFormat="1" applyFont="1" applyFill="1"/>
    <xf numFmtId="165" fontId="13" fillId="2" borderId="0" xfId="1" applyNumberFormat="1" applyFont="1" applyFill="1" applyAlignment="1">
      <alignment horizontal="center"/>
    </xf>
    <xf numFmtId="165" fontId="13" fillId="2" borderId="0" xfId="1" applyNumberFormat="1" applyFont="1" applyFill="1"/>
    <xf numFmtId="165" fontId="13" fillId="0" borderId="0" xfId="1" applyNumberFormat="1" applyFont="1" applyAlignment="1" applyProtection="1">
      <alignment horizontal="center"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164" fontId="13" fillId="0" borderId="0" xfId="1" applyNumberFormat="1" applyFont="1" applyAlignment="1" applyProtection="1">
      <alignment horizontal="center" vertical="center"/>
      <protection locked="0"/>
    </xf>
    <xf numFmtId="1" fontId="4" fillId="2" borderId="0" xfId="1" applyNumberFormat="1" applyFont="1" applyFill="1"/>
    <xf numFmtId="0" fontId="4" fillId="2" borderId="0" xfId="1" applyFont="1" applyFill="1"/>
    <xf numFmtId="0" fontId="4" fillId="2" borderId="0" xfId="1" applyFont="1" applyFill="1" applyAlignment="1">
      <alignment horizontal="center"/>
    </xf>
    <xf numFmtId="0" fontId="4" fillId="2" borderId="0" xfId="1" applyFont="1" applyFill="1" applyProtection="1">
      <protection locked="0"/>
    </xf>
    <xf numFmtId="165" fontId="4" fillId="2" borderId="0" xfId="1" applyNumberFormat="1" applyFont="1" applyFill="1"/>
    <xf numFmtId="164" fontId="7" fillId="0" borderId="0" xfId="2" applyNumberFormat="1" applyFont="1" applyAlignment="1"/>
    <xf numFmtId="164" fontId="13" fillId="2" borderId="51" xfId="1" applyNumberFormat="1" applyFont="1" applyFill="1" applyBorder="1" applyAlignment="1" applyProtection="1">
      <alignment horizontal="center" vertical="center"/>
      <protection locked="0"/>
    </xf>
    <xf numFmtId="164" fontId="13" fillId="2" borderId="66" xfId="1" applyNumberFormat="1" applyFont="1" applyFill="1" applyBorder="1" applyAlignment="1" applyProtection="1">
      <alignment horizontal="center" vertical="center"/>
      <protection locked="0"/>
    </xf>
    <xf numFmtId="165" fontId="13" fillId="2" borderId="59" xfId="1" applyNumberFormat="1" applyFont="1" applyFill="1" applyBorder="1" applyAlignment="1">
      <alignment horizontal="center"/>
    </xf>
    <xf numFmtId="0" fontId="13" fillId="2" borderId="62" xfId="1" applyFont="1" applyFill="1" applyBorder="1" applyAlignment="1">
      <alignment horizontal="center" vertical="center"/>
    </xf>
    <xf numFmtId="0" fontId="13" fillId="2" borderId="63" xfId="1" applyFont="1" applyFill="1" applyBorder="1" applyAlignment="1">
      <alignment horizontal="center" vertical="center"/>
    </xf>
    <xf numFmtId="0" fontId="13" fillId="2" borderId="64" xfId="1" applyFont="1" applyFill="1" applyBorder="1" applyAlignment="1">
      <alignment horizontal="center" vertical="center"/>
    </xf>
    <xf numFmtId="0" fontId="14" fillId="2" borderId="62" xfId="1" applyFont="1" applyFill="1" applyBorder="1" applyAlignment="1" applyProtection="1">
      <alignment horizontal="center" vertical="center"/>
      <protection locked="0"/>
    </xf>
    <xf numFmtId="0" fontId="14" fillId="2" borderId="63" xfId="1" applyFont="1" applyFill="1" applyBorder="1" applyAlignment="1" applyProtection="1">
      <alignment horizontal="center" vertical="center"/>
      <protection locked="0"/>
    </xf>
    <xf numFmtId="0" fontId="14" fillId="2" borderId="64" xfId="1" applyFont="1" applyFill="1" applyBorder="1" applyAlignment="1" applyProtection="1">
      <alignment horizontal="center" vertical="center"/>
      <protection locked="0"/>
    </xf>
    <xf numFmtId="0" fontId="13" fillId="0" borderId="44" xfId="1" applyFont="1" applyBorder="1" applyAlignment="1" applyProtection="1">
      <alignment horizontal="center" vertical="center"/>
      <protection locked="0"/>
    </xf>
    <xf numFmtId="0" fontId="13" fillId="0" borderId="38" xfId="1" applyFont="1" applyBorder="1" applyAlignment="1" applyProtection="1">
      <alignment horizontal="center" vertical="center"/>
      <protection locked="0"/>
    </xf>
    <xf numFmtId="1" fontId="13" fillId="0" borderId="5" xfId="1" applyNumberFormat="1" applyFont="1" applyBorder="1" applyAlignment="1" applyProtection="1">
      <alignment horizontal="center" vertical="center"/>
      <protection locked="0"/>
    </xf>
    <xf numFmtId="1" fontId="13" fillId="0" borderId="61" xfId="1" applyNumberFormat="1" applyFont="1" applyBorder="1" applyAlignment="1" applyProtection="1">
      <alignment horizontal="center" vertical="center"/>
      <protection locked="0"/>
    </xf>
    <xf numFmtId="0" fontId="13" fillId="2" borderId="9" xfId="1" applyFont="1" applyFill="1" applyBorder="1" applyAlignment="1" applyProtection="1">
      <alignment horizontal="center" vertical="center"/>
      <protection locked="0"/>
    </xf>
    <xf numFmtId="0" fontId="13" fillId="2" borderId="10" xfId="1" applyFont="1" applyFill="1" applyBorder="1" applyAlignment="1" applyProtection="1">
      <alignment horizontal="center" vertical="center"/>
      <protection locked="0"/>
    </xf>
    <xf numFmtId="0" fontId="13" fillId="2" borderId="11" xfId="1" applyFont="1" applyFill="1" applyBorder="1" applyAlignment="1" applyProtection="1">
      <alignment horizontal="center" vertical="center"/>
      <protection locked="0"/>
    </xf>
    <xf numFmtId="165" fontId="13" fillId="2" borderId="9" xfId="1" applyNumberFormat="1" applyFont="1" applyFill="1" applyBorder="1" applyAlignment="1" applyProtection="1">
      <alignment horizontal="center" vertical="center"/>
      <protection locked="0"/>
    </xf>
    <xf numFmtId="165" fontId="13" fillId="2" borderId="10" xfId="1" applyNumberFormat="1" applyFont="1" applyFill="1" applyBorder="1" applyAlignment="1" applyProtection="1">
      <alignment horizontal="center" vertical="center"/>
      <protection locked="0"/>
    </xf>
    <xf numFmtId="165" fontId="13" fillId="2" borderId="11" xfId="1" applyNumberFormat="1" applyFont="1" applyFill="1" applyBorder="1" applyAlignment="1" applyProtection="1">
      <alignment horizontal="center" vertical="center"/>
      <protection locked="0"/>
    </xf>
    <xf numFmtId="164" fontId="13" fillId="2" borderId="5" xfId="1" applyNumberFormat="1" applyFont="1" applyFill="1" applyBorder="1" applyAlignment="1" applyProtection="1">
      <alignment horizontal="center" vertical="center"/>
      <protection locked="0"/>
    </xf>
    <xf numFmtId="164" fontId="13" fillId="2" borderId="6" xfId="1" applyNumberFormat="1" applyFont="1" applyFill="1" applyBorder="1" applyAlignment="1" applyProtection="1">
      <alignment horizontal="center" vertical="center"/>
      <protection locked="0"/>
    </xf>
    <xf numFmtId="0" fontId="13" fillId="2" borderId="14" xfId="1" applyFont="1" applyFill="1" applyBorder="1" applyAlignment="1">
      <alignment horizontal="center" vertical="center"/>
    </xf>
    <xf numFmtId="0" fontId="13" fillId="2" borderId="15" xfId="1" applyFont="1" applyFill="1" applyBorder="1" applyAlignment="1">
      <alignment horizontal="center" vertical="center"/>
    </xf>
    <xf numFmtId="0" fontId="13" fillId="2" borderId="16" xfId="1" applyFont="1" applyFill="1" applyBorder="1" applyAlignment="1">
      <alignment horizontal="center" vertical="center"/>
    </xf>
    <xf numFmtId="0" fontId="14" fillId="2" borderId="14" xfId="1" applyFont="1" applyFill="1" applyBorder="1" applyAlignment="1">
      <alignment horizontal="center" vertical="center"/>
    </xf>
    <xf numFmtId="0" fontId="14" fillId="2" borderId="15" xfId="1" applyFont="1" applyFill="1" applyBorder="1" applyAlignment="1">
      <alignment horizontal="center" vertical="center"/>
    </xf>
    <xf numFmtId="0" fontId="14" fillId="2" borderId="16" xfId="1" applyFont="1" applyFill="1" applyBorder="1" applyAlignment="1">
      <alignment horizontal="center" vertical="center"/>
    </xf>
    <xf numFmtId="1" fontId="14" fillId="2" borderId="17" xfId="1" applyNumberFormat="1" applyFont="1" applyFill="1" applyBorder="1" applyAlignment="1" applyProtection="1">
      <alignment horizontal="center" vertical="center"/>
      <protection locked="0"/>
    </xf>
    <xf numFmtId="1" fontId="14" fillId="2" borderId="18" xfId="1" applyNumberFormat="1" applyFont="1" applyFill="1" applyBorder="1" applyAlignment="1" applyProtection="1">
      <alignment horizontal="center" vertical="center"/>
      <protection locked="0"/>
    </xf>
    <xf numFmtId="1" fontId="14" fillId="2" borderId="19" xfId="1" applyNumberFormat="1" applyFont="1" applyFill="1" applyBorder="1" applyAlignment="1" applyProtection="1">
      <alignment horizontal="center" vertical="center"/>
      <protection locked="0"/>
    </xf>
    <xf numFmtId="1" fontId="17" fillId="2" borderId="17" xfId="1" applyNumberFormat="1" applyFont="1" applyFill="1" applyBorder="1" applyAlignment="1" applyProtection="1">
      <alignment horizontal="center" vertical="center"/>
      <protection locked="0"/>
    </xf>
    <xf numFmtId="1" fontId="17" fillId="2" borderId="65" xfId="1" applyNumberFormat="1" applyFont="1" applyFill="1" applyBorder="1" applyAlignment="1" applyProtection="1">
      <alignment horizontal="center" vertical="center"/>
      <protection locked="0"/>
    </xf>
    <xf numFmtId="0" fontId="14" fillId="2" borderId="17" xfId="2" applyFont="1" applyFill="1" applyBorder="1" applyAlignment="1">
      <alignment horizontal="center" vertical="center"/>
    </xf>
    <xf numFmtId="0" fontId="14" fillId="2" borderId="18" xfId="2" applyFont="1" applyFill="1" applyBorder="1" applyAlignment="1">
      <alignment horizontal="center" vertical="center"/>
    </xf>
    <xf numFmtId="0" fontId="14" fillId="2" borderId="19" xfId="2" applyFont="1" applyFill="1" applyBorder="1" applyAlignment="1">
      <alignment horizontal="center" vertical="center"/>
    </xf>
    <xf numFmtId="0" fontId="14" fillId="2" borderId="22" xfId="2" applyFont="1" applyFill="1" applyBorder="1" applyAlignment="1">
      <alignment horizontal="center" vertical="center"/>
    </xf>
    <xf numFmtId="0" fontId="14" fillId="2" borderId="25" xfId="2" applyFont="1" applyFill="1" applyBorder="1" applyAlignment="1">
      <alignment horizontal="center" vertical="center"/>
    </xf>
    <xf numFmtId="0" fontId="14" fillId="2" borderId="53" xfId="2" applyFont="1" applyFill="1" applyBorder="1" applyAlignment="1">
      <alignment horizontal="center" vertical="center"/>
    </xf>
    <xf numFmtId="0" fontId="14" fillId="2" borderId="51" xfId="2" applyFont="1" applyFill="1" applyBorder="1" applyAlignment="1">
      <alignment horizontal="center" vertical="center"/>
    </xf>
    <xf numFmtId="0" fontId="14" fillId="2" borderId="54" xfId="2" applyFont="1" applyFill="1" applyBorder="1" applyAlignment="1">
      <alignment horizontal="center" vertical="center"/>
    </xf>
    <xf numFmtId="0" fontId="14" fillId="2" borderId="26" xfId="2" applyFont="1" applyFill="1" applyBorder="1" applyAlignment="1">
      <alignment horizontal="center" vertical="center"/>
    </xf>
    <xf numFmtId="0" fontId="14" fillId="2" borderId="24" xfId="2" applyFont="1" applyFill="1" applyBorder="1" applyAlignment="1">
      <alignment horizontal="center" vertical="center"/>
    </xf>
    <xf numFmtId="0" fontId="14" fillId="2" borderId="26" xfId="2" applyFont="1" applyFill="1" applyBorder="1" applyAlignment="1">
      <alignment horizontal="center" vertical="center" wrapText="1"/>
    </xf>
    <xf numFmtId="0" fontId="14" fillId="2" borderId="23" xfId="2" applyFont="1" applyFill="1" applyBorder="1" applyAlignment="1">
      <alignment horizontal="center" vertical="center" wrapText="1"/>
    </xf>
    <xf numFmtId="0" fontId="14" fillId="2" borderId="24" xfId="2" applyFont="1" applyFill="1" applyBorder="1" applyAlignment="1">
      <alignment horizontal="center" vertical="center" wrapText="1"/>
    </xf>
    <xf numFmtId="0" fontId="14" fillId="2" borderId="38" xfId="2" applyFont="1" applyFill="1" applyBorder="1" applyAlignment="1">
      <alignment horizontal="center" vertical="center"/>
    </xf>
    <xf numFmtId="0" fontId="14" fillId="2" borderId="17" xfId="2" applyFont="1" applyFill="1" applyBorder="1" applyAlignment="1">
      <alignment horizontal="center" vertical="center" wrapText="1"/>
    </xf>
    <xf numFmtId="0" fontId="14" fillId="2" borderId="18" xfId="2" applyFont="1" applyFill="1" applyBorder="1" applyAlignment="1">
      <alignment horizontal="center" vertical="center" wrapText="1"/>
    </xf>
    <xf numFmtId="0" fontId="14" fillId="2" borderId="19" xfId="2" applyFont="1" applyFill="1" applyBorder="1" applyAlignment="1">
      <alignment horizontal="center" vertical="center" wrapText="1"/>
    </xf>
    <xf numFmtId="0" fontId="14" fillId="2" borderId="22" xfId="2" applyFont="1" applyFill="1" applyBorder="1" applyAlignment="1">
      <alignment horizontal="center" vertical="center" wrapText="1"/>
    </xf>
    <xf numFmtId="0" fontId="14" fillId="2" borderId="25" xfId="2" applyFont="1" applyFill="1" applyBorder="1" applyAlignment="1">
      <alignment horizontal="center" vertical="center" wrapText="1"/>
    </xf>
    <xf numFmtId="0" fontId="14" fillId="2" borderId="53" xfId="2" applyFont="1" applyFill="1" applyBorder="1" applyAlignment="1">
      <alignment horizontal="center" vertical="center" wrapText="1"/>
    </xf>
    <xf numFmtId="0" fontId="14" fillId="2" borderId="9" xfId="2" applyFont="1" applyFill="1" applyBorder="1" applyAlignment="1">
      <alignment horizontal="center" vertical="center"/>
    </xf>
    <xf numFmtId="0" fontId="14" fillId="2" borderId="10" xfId="2" applyFont="1" applyFill="1" applyBorder="1" applyAlignment="1">
      <alignment horizontal="center" vertical="center"/>
    </xf>
    <xf numFmtId="0" fontId="14" fillId="2" borderId="5" xfId="2" applyFont="1" applyFill="1" applyBorder="1" applyAlignment="1">
      <alignment horizontal="center" vertical="center"/>
    </xf>
    <xf numFmtId="0" fontId="14" fillId="2" borderId="50" xfId="2" applyFont="1" applyFill="1" applyBorder="1" applyAlignment="1">
      <alignment horizontal="left" vertical="top" wrapText="1"/>
    </xf>
    <xf numFmtId="0" fontId="14" fillId="2" borderId="18" xfId="2" applyFont="1" applyFill="1" applyBorder="1" applyAlignment="1">
      <alignment horizontal="left" vertical="top"/>
    </xf>
    <xf numFmtId="0" fontId="14" fillId="2" borderId="19" xfId="2" applyFont="1" applyFill="1" applyBorder="1" applyAlignment="1">
      <alignment horizontal="left" vertical="top"/>
    </xf>
    <xf numFmtId="0" fontId="14" fillId="2" borderId="7" xfId="2" applyFont="1" applyFill="1" applyBorder="1" applyAlignment="1">
      <alignment horizontal="left" vertical="top"/>
    </xf>
    <xf numFmtId="0" fontId="14" fillId="2" borderId="0" xfId="2" applyFont="1" applyFill="1" applyAlignment="1">
      <alignment horizontal="left" vertical="top"/>
    </xf>
    <xf numFmtId="0" fontId="14" fillId="2" borderId="52" xfId="2" applyFont="1" applyFill="1" applyBorder="1" applyAlignment="1">
      <alignment horizontal="left" vertical="top"/>
    </xf>
    <xf numFmtId="0" fontId="14" fillId="2" borderId="57" xfId="2" applyFont="1" applyFill="1" applyBorder="1" applyAlignment="1">
      <alignment horizontal="left" vertical="top"/>
    </xf>
    <xf numFmtId="0" fontId="14" fillId="2" borderId="25" xfId="2" applyFont="1" applyFill="1" applyBorder="1" applyAlignment="1">
      <alignment horizontal="left" vertical="top"/>
    </xf>
    <xf numFmtId="0" fontId="14" fillId="2" borderId="53" xfId="2" applyFont="1" applyFill="1" applyBorder="1" applyAlignment="1">
      <alignment horizontal="left" vertical="top"/>
    </xf>
    <xf numFmtId="0" fontId="14" fillId="2" borderId="17" xfId="2" applyFont="1" applyFill="1" applyBorder="1" applyAlignment="1">
      <alignment horizontal="left" vertical="center" wrapText="1"/>
    </xf>
    <xf numFmtId="0" fontId="14" fillId="2" borderId="18" xfId="2" applyFont="1" applyFill="1" applyBorder="1" applyAlignment="1">
      <alignment horizontal="left" vertical="center" wrapText="1"/>
    </xf>
    <xf numFmtId="0" fontId="14" fillId="2" borderId="19" xfId="2" applyFont="1" applyFill="1" applyBorder="1" applyAlignment="1">
      <alignment horizontal="left" vertical="center" wrapText="1"/>
    </xf>
    <xf numFmtId="0" fontId="14" fillId="2" borderId="48" xfId="2" applyFont="1" applyFill="1" applyBorder="1" applyAlignment="1">
      <alignment horizontal="left" vertical="center" wrapText="1"/>
    </xf>
    <xf numFmtId="0" fontId="14" fillId="2" borderId="0" xfId="2" applyFont="1" applyFill="1" applyAlignment="1">
      <alignment horizontal="left" vertical="center" wrapText="1"/>
    </xf>
    <xf numFmtId="0" fontId="14" fillId="2" borderId="52" xfId="2" applyFont="1" applyFill="1" applyBorder="1" applyAlignment="1">
      <alignment horizontal="left" vertical="center" wrapText="1"/>
    </xf>
    <xf numFmtId="0" fontId="14" fillId="2" borderId="22" xfId="2" applyFont="1" applyFill="1" applyBorder="1" applyAlignment="1">
      <alignment horizontal="left" vertical="center" wrapText="1"/>
    </xf>
    <xf numFmtId="0" fontId="14" fillId="2" borderId="25" xfId="2" applyFont="1" applyFill="1" applyBorder="1" applyAlignment="1">
      <alignment horizontal="left" vertical="center" wrapText="1"/>
    </xf>
    <xf numFmtId="0" fontId="14" fillId="2" borderId="53" xfId="2" applyFont="1" applyFill="1" applyBorder="1" applyAlignment="1">
      <alignment horizontal="left" vertical="center" wrapText="1"/>
    </xf>
    <xf numFmtId="0" fontId="14" fillId="2" borderId="9" xfId="2" applyFont="1" applyFill="1" applyBorder="1" applyAlignment="1">
      <alignment horizontal="center" vertical="center" wrapText="1"/>
    </xf>
    <xf numFmtId="0" fontId="14" fillId="2" borderId="10" xfId="2" applyFont="1" applyFill="1" applyBorder="1" applyAlignment="1">
      <alignment horizontal="center" vertical="center" wrapText="1"/>
    </xf>
    <xf numFmtId="0" fontId="14" fillId="2" borderId="11" xfId="2" applyFont="1" applyFill="1" applyBorder="1" applyAlignment="1">
      <alignment horizontal="center" vertical="center"/>
    </xf>
    <xf numFmtId="0" fontId="14" fillId="2" borderId="40" xfId="2" applyFont="1" applyFill="1" applyBorder="1" applyAlignment="1">
      <alignment horizontal="center" vertical="center"/>
    </xf>
    <xf numFmtId="0" fontId="14" fillId="2" borderId="41" xfId="2" applyFont="1" applyFill="1" applyBorder="1" applyAlignment="1">
      <alignment horizontal="center" vertical="center"/>
    </xf>
    <xf numFmtId="0" fontId="14" fillId="2" borderId="40" xfId="2" applyFont="1" applyFill="1" applyBorder="1" applyAlignment="1">
      <alignment horizontal="center" vertical="center" wrapText="1"/>
    </xf>
    <xf numFmtId="0" fontId="14" fillId="2" borderId="55" xfId="2" applyFont="1" applyFill="1" applyBorder="1" applyAlignment="1">
      <alignment horizontal="center" vertical="center" wrapText="1"/>
    </xf>
    <xf numFmtId="0" fontId="14" fillId="2" borderId="41" xfId="2" applyFont="1" applyFill="1" applyBorder="1" applyAlignment="1">
      <alignment horizontal="center" vertical="center" wrapText="1"/>
    </xf>
    <xf numFmtId="0" fontId="14" fillId="2" borderId="56" xfId="2" applyFont="1" applyFill="1" applyBorder="1" applyAlignment="1">
      <alignment horizontal="center" vertical="center"/>
    </xf>
    <xf numFmtId="0" fontId="7" fillId="0" borderId="40" xfId="3" applyFont="1" applyBorder="1" applyAlignment="1">
      <alignment horizontal="center" shrinkToFit="1"/>
    </xf>
    <xf numFmtId="0" fontId="7" fillId="0" borderId="41" xfId="3" applyFont="1" applyBorder="1" applyAlignment="1">
      <alignment horizontal="center" shrinkToFit="1"/>
    </xf>
    <xf numFmtId="164" fontId="7" fillId="0" borderId="40" xfId="3" applyNumberFormat="1" applyFont="1" applyBorder="1" applyAlignment="1">
      <alignment horizontal="center" shrinkToFit="1"/>
    </xf>
    <xf numFmtId="164" fontId="7" fillId="0" borderId="41" xfId="3" applyNumberFormat="1" applyFont="1" applyBorder="1" applyAlignment="1">
      <alignment horizontal="center" shrinkToFit="1"/>
    </xf>
    <xf numFmtId="0" fontId="10" fillId="0" borderId="40" xfId="6" applyFont="1" applyBorder="1" applyAlignment="1">
      <alignment horizontal="center" shrinkToFit="1"/>
    </xf>
    <xf numFmtId="0" fontId="10" fillId="0" borderId="45" xfId="6" applyFont="1" applyBorder="1" applyAlignment="1">
      <alignment horizontal="center" shrinkToFit="1"/>
    </xf>
    <xf numFmtId="0" fontId="10" fillId="0" borderId="48" xfId="6" applyFont="1" applyBorder="1" applyAlignment="1">
      <alignment horizontal="center" shrinkToFit="1"/>
    </xf>
    <xf numFmtId="0" fontId="10" fillId="0" borderId="8" xfId="6" applyFont="1" applyBorder="1" applyAlignment="1">
      <alignment horizontal="center" shrinkToFit="1"/>
    </xf>
    <xf numFmtId="0" fontId="7" fillId="0" borderId="40" xfId="6" applyFont="1" applyBorder="1" applyAlignment="1">
      <alignment horizontal="center" shrinkToFit="1"/>
    </xf>
    <xf numFmtId="0" fontId="7" fillId="0" borderId="45" xfId="6" applyFont="1" applyBorder="1" applyAlignment="1">
      <alignment horizontal="center" shrinkToFit="1"/>
    </xf>
    <xf numFmtId="164" fontId="4" fillId="0" borderId="9" xfId="1" applyNumberFormat="1" applyFont="1" applyBorder="1" applyAlignment="1" applyProtection="1">
      <alignment horizontal="center" vertical="center" wrapText="1"/>
      <protection locked="0"/>
    </xf>
    <xf numFmtId="0" fontId="4" fillId="0" borderId="9" xfId="1" applyFont="1" applyBorder="1" applyAlignment="1" applyProtection="1">
      <alignment horizontal="center" vertical="center" wrapText="1"/>
      <protection locked="0"/>
    </xf>
    <xf numFmtId="0" fontId="4" fillId="0" borderId="10" xfId="1" applyFont="1" applyBorder="1" applyAlignment="1" applyProtection="1">
      <alignment horizontal="center" vertical="center" wrapText="1"/>
      <protection locked="0"/>
    </xf>
    <xf numFmtId="0" fontId="4" fillId="0" borderId="12" xfId="1" applyFont="1" applyBorder="1" applyAlignment="1" applyProtection="1">
      <alignment horizontal="center" vertical="center" wrapText="1"/>
      <protection locked="0"/>
    </xf>
    <xf numFmtId="0" fontId="7" fillId="2" borderId="5" xfId="2" applyFont="1" applyFill="1" applyBorder="1" applyAlignment="1">
      <alignment horizontal="center" vertical="center"/>
    </xf>
    <xf numFmtId="0" fontId="4" fillId="2" borderId="10" xfId="7" applyFont="1" applyFill="1" applyBorder="1" applyAlignment="1">
      <alignment horizontal="center" vertical="center" wrapText="1"/>
    </xf>
    <xf numFmtId="0" fontId="4" fillId="2" borderId="11" xfId="7" applyFont="1" applyFill="1" applyBorder="1" applyAlignment="1">
      <alignment horizontal="center" vertical="center" wrapText="1"/>
    </xf>
    <xf numFmtId="0" fontId="4" fillId="2" borderId="9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164" fontId="9" fillId="3" borderId="33" xfId="3" applyNumberFormat="1" applyFont="1" applyFill="1" applyBorder="1" applyAlignment="1">
      <alignment horizontal="center" shrinkToFit="1"/>
    </xf>
    <xf numFmtId="0" fontId="9" fillId="3" borderId="33" xfId="6" applyFont="1" applyFill="1" applyBorder="1" applyAlignment="1">
      <alignment horizontal="center" shrinkToFit="1"/>
    </xf>
    <xf numFmtId="0" fontId="9" fillId="3" borderId="36" xfId="6" applyFont="1" applyFill="1" applyBorder="1" applyAlignment="1">
      <alignment horizontal="center" shrinkToFit="1"/>
    </xf>
    <xf numFmtId="1" fontId="4" fillId="2" borderId="4" xfId="1" applyNumberFormat="1" applyFont="1" applyFill="1" applyBorder="1" applyAlignment="1" applyProtection="1">
      <alignment horizontal="center" vertical="center"/>
      <protection locked="0"/>
    </xf>
    <xf numFmtId="0" fontId="4" fillId="2" borderId="10" xfId="1" applyFont="1" applyFill="1" applyBorder="1" applyAlignment="1" applyProtection="1">
      <alignment horizontal="center" vertical="center" wrapText="1"/>
      <protection locked="0"/>
    </xf>
    <xf numFmtId="0" fontId="4" fillId="0" borderId="11" xfId="1" applyFont="1" applyBorder="1" applyAlignment="1" applyProtection="1">
      <alignment horizontal="center" vertical="center" wrapText="1"/>
      <protection locked="0"/>
    </xf>
    <xf numFmtId="0" fontId="4" fillId="2" borderId="10" xfId="1" applyFont="1" applyFill="1" applyBorder="1" applyAlignment="1" applyProtection="1">
      <alignment horizontal="center" vertical="center"/>
      <protection locked="0"/>
    </xf>
    <xf numFmtId="0" fontId="4" fillId="2" borderId="11" xfId="1" applyFont="1" applyFill="1" applyBorder="1" applyAlignment="1" applyProtection="1">
      <alignment horizontal="center" vertical="center"/>
      <protection locked="0"/>
    </xf>
    <xf numFmtId="164" fontId="4" fillId="0" borderId="5" xfId="1" applyNumberFormat="1" applyFont="1" applyBorder="1" applyAlignment="1" applyProtection="1">
      <alignment horizontal="center" vertical="center" wrapText="1"/>
      <protection locked="0"/>
    </xf>
    <xf numFmtId="0" fontId="9" fillId="3" borderId="33" xfId="4" applyFont="1" applyFill="1" applyBorder="1" applyAlignment="1">
      <alignment horizontal="center" shrinkToFit="1"/>
    </xf>
    <xf numFmtId="0" fontId="9" fillId="3" borderId="34" xfId="4" applyFont="1" applyFill="1" applyBorder="1" applyAlignment="1">
      <alignment horizontal="center" shrinkToFit="1"/>
    </xf>
    <xf numFmtId="0" fontId="9" fillId="3" borderId="35" xfId="4" applyFont="1" applyFill="1" applyBorder="1" applyAlignment="1">
      <alignment horizontal="center" shrinkToFit="1"/>
    </xf>
    <xf numFmtId="0" fontId="9" fillId="3" borderId="33" xfId="5" applyFont="1" applyFill="1" applyBorder="1" applyAlignment="1">
      <alignment horizontal="left" shrinkToFit="1"/>
    </xf>
    <xf numFmtId="0" fontId="9" fillId="3" borderId="35" xfId="5" applyFont="1" applyFill="1" applyBorder="1" applyAlignment="1">
      <alignment horizontal="left" shrinkToFit="1"/>
    </xf>
    <xf numFmtId="0" fontId="9" fillId="3" borderId="34" xfId="5" applyFont="1" applyFill="1" applyBorder="1" applyAlignment="1">
      <alignment horizontal="left" shrinkToFit="1"/>
    </xf>
    <xf numFmtId="1" fontId="7" fillId="0" borderId="26" xfId="2" applyNumberFormat="1" applyFont="1" applyBorder="1" applyAlignment="1">
      <alignment horizontal="center" vertical="center"/>
    </xf>
    <xf numFmtId="1" fontId="7" fillId="0" borderId="24" xfId="2" applyNumberFormat="1" applyFont="1" applyBorder="1" applyAlignment="1">
      <alignment horizontal="center" vertical="center"/>
    </xf>
    <xf numFmtId="0" fontId="8" fillId="0" borderId="26" xfId="2" applyFont="1" applyBorder="1" applyAlignment="1">
      <alignment horizontal="center"/>
    </xf>
    <xf numFmtId="0" fontId="8" fillId="0" borderId="23" xfId="2" applyFont="1" applyBorder="1" applyAlignment="1">
      <alignment horizontal="center"/>
    </xf>
    <xf numFmtId="0" fontId="8" fillId="0" borderId="24" xfId="2" applyFont="1" applyBorder="1" applyAlignment="1">
      <alignment horizontal="center"/>
    </xf>
    <xf numFmtId="0" fontId="7" fillId="0" borderId="26" xfId="2" applyFont="1" applyBorder="1" applyAlignment="1">
      <alignment horizontal="center" vertical="center"/>
    </xf>
    <xf numFmtId="0" fontId="7" fillId="0" borderId="23" xfId="2" applyFont="1" applyBorder="1" applyAlignment="1">
      <alignment horizontal="center" vertical="center"/>
    </xf>
    <xf numFmtId="0" fontId="7" fillId="0" borderId="31" xfId="2" applyFont="1" applyBorder="1" applyAlignment="1">
      <alignment horizontal="center" vertical="center"/>
    </xf>
    <xf numFmtId="0" fontId="9" fillId="3" borderId="32" xfId="2" applyFont="1" applyFill="1" applyBorder="1" applyAlignment="1">
      <alignment horizontal="center" vertical="center"/>
    </xf>
    <xf numFmtId="0" fontId="9" fillId="3" borderId="33" xfId="2" applyFont="1" applyFill="1" applyBorder="1" applyAlignment="1">
      <alignment horizontal="center" vertical="center"/>
    </xf>
    <xf numFmtId="0" fontId="9" fillId="3" borderId="34" xfId="2" applyFont="1" applyFill="1" applyBorder="1" applyAlignment="1">
      <alignment horizontal="center" vertical="center"/>
    </xf>
    <xf numFmtId="0" fontId="9" fillId="3" borderId="33" xfId="2" applyFont="1" applyFill="1" applyBorder="1" applyAlignment="1">
      <alignment horizontal="center"/>
    </xf>
    <xf numFmtId="0" fontId="9" fillId="3" borderId="34" xfId="2" applyFont="1" applyFill="1" applyBorder="1" applyAlignment="1">
      <alignment horizontal="center"/>
    </xf>
    <xf numFmtId="0" fontId="9" fillId="3" borderId="35" xfId="3" applyFont="1" applyFill="1" applyBorder="1" applyAlignment="1">
      <alignment horizontal="left" shrinkToFit="1"/>
    </xf>
    <xf numFmtId="0" fontId="9" fillId="3" borderId="33" xfId="3" applyFont="1" applyFill="1" applyBorder="1" applyAlignment="1">
      <alignment horizontal="left" shrinkToFit="1"/>
    </xf>
    <xf numFmtId="0" fontId="9" fillId="3" borderId="33" xfId="3" applyFont="1" applyFill="1" applyBorder="1" applyAlignment="1">
      <alignment horizontal="center" shrinkToFit="1"/>
    </xf>
    <xf numFmtId="0" fontId="9" fillId="3" borderId="34" xfId="3" applyFont="1" applyFill="1" applyBorder="1" applyAlignment="1">
      <alignment horizontal="center" shrinkToFit="1"/>
    </xf>
    <xf numFmtId="0" fontId="7" fillId="0" borderId="14" xfId="2" applyFont="1" applyBorder="1" applyAlignment="1">
      <alignment horizontal="center" vertical="center"/>
    </xf>
    <xf numFmtId="0" fontId="7" fillId="0" borderId="16" xfId="2" applyFont="1" applyBorder="1" applyAlignment="1">
      <alignment horizontal="center" vertical="center"/>
    </xf>
    <xf numFmtId="0" fontId="0" fillId="2" borderId="17" xfId="2" applyFont="1" applyFill="1" applyBorder="1" applyAlignment="1">
      <alignment horizontal="center" vertical="center"/>
    </xf>
    <xf numFmtId="0" fontId="0" fillId="2" borderId="18" xfId="2" applyFont="1" applyFill="1" applyBorder="1" applyAlignment="1">
      <alignment horizontal="center" vertical="center"/>
    </xf>
    <xf numFmtId="0" fontId="0" fillId="2" borderId="19" xfId="2" applyFont="1" applyFill="1" applyBorder="1" applyAlignment="1">
      <alignment horizontal="center" vertical="center"/>
    </xf>
    <xf numFmtId="0" fontId="7" fillId="0" borderId="15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 wrapText="1"/>
    </xf>
    <xf numFmtId="0" fontId="7" fillId="0" borderId="20" xfId="2" applyFont="1" applyBorder="1" applyAlignment="1">
      <alignment horizontal="center" vertical="center"/>
    </xf>
    <xf numFmtId="0" fontId="9" fillId="0" borderId="23" xfId="2" applyFont="1" applyBorder="1" applyAlignment="1">
      <alignment horizontal="center" vertical="center"/>
    </xf>
    <xf numFmtId="0" fontId="9" fillId="0" borderId="24" xfId="2" applyFont="1" applyBorder="1" applyAlignment="1">
      <alignment horizontal="center" vertical="center"/>
    </xf>
    <xf numFmtId="16" fontId="7" fillId="2" borderId="26" xfId="2" applyNumberFormat="1" applyFont="1" applyFill="1" applyBorder="1" applyAlignment="1">
      <alignment horizontal="center" vertical="center"/>
    </xf>
    <xf numFmtId="16" fontId="7" fillId="2" borderId="23" xfId="2" applyNumberFormat="1" applyFont="1" applyFill="1" applyBorder="1" applyAlignment="1">
      <alignment horizontal="center" vertical="center"/>
    </xf>
    <xf numFmtId="1" fontId="7" fillId="2" borderId="26" xfId="2" applyNumberFormat="1" applyFont="1" applyFill="1" applyBorder="1" applyAlignment="1">
      <alignment horizontal="left" vertical="center"/>
    </xf>
    <xf numFmtId="1" fontId="7" fillId="2" borderId="24" xfId="2" applyNumberFormat="1" applyFont="1" applyFill="1" applyBorder="1" applyAlignment="1">
      <alignment horizontal="left" vertical="center"/>
    </xf>
    <xf numFmtId="1" fontId="7" fillId="2" borderId="26" xfId="2" applyNumberFormat="1" applyFont="1" applyFill="1" applyBorder="1" applyAlignment="1">
      <alignment horizontal="center" vertical="center"/>
    </xf>
    <xf numFmtId="1" fontId="7" fillId="2" borderId="24" xfId="2" applyNumberFormat="1" applyFont="1" applyFill="1" applyBorder="1" applyAlignment="1">
      <alignment horizontal="center" vertical="center"/>
    </xf>
    <xf numFmtId="16" fontId="9" fillId="0" borderId="15" xfId="2" applyNumberFormat="1" applyFont="1" applyBorder="1" applyAlignment="1">
      <alignment horizontal="center" vertical="center"/>
    </xf>
    <xf numFmtId="0" fontId="9" fillId="0" borderId="16" xfId="2" applyFont="1" applyBorder="1" applyAlignment="1">
      <alignment horizontal="center" vertical="center"/>
    </xf>
    <xf numFmtId="0" fontId="7" fillId="3" borderId="17" xfId="2" applyFont="1" applyFill="1" applyBorder="1" applyAlignment="1">
      <alignment horizontal="center" vertical="center" wrapText="1"/>
    </xf>
    <xf numFmtId="0" fontId="7" fillId="3" borderId="18" xfId="2" applyFont="1" applyFill="1" applyBorder="1" applyAlignment="1">
      <alignment horizontal="center" vertical="center" wrapText="1"/>
    </xf>
    <xf numFmtId="0" fontId="7" fillId="3" borderId="22" xfId="2" applyFont="1" applyFill="1" applyBorder="1" applyAlignment="1">
      <alignment horizontal="center" vertical="center" wrapText="1"/>
    </xf>
    <xf numFmtId="0" fontId="7" fillId="3" borderId="25" xfId="2" applyFont="1" applyFill="1" applyBorder="1" applyAlignment="1">
      <alignment horizontal="center" vertical="center" wrapText="1"/>
    </xf>
    <xf numFmtId="16" fontId="7" fillId="2" borderId="14" xfId="2" applyNumberFormat="1" applyFont="1" applyFill="1" applyBorder="1" applyAlignment="1">
      <alignment horizontal="center" vertical="center" wrapText="1"/>
    </xf>
    <xf numFmtId="16" fontId="7" fillId="2" borderId="15" xfId="2" applyNumberFormat="1" applyFont="1" applyFill="1" applyBorder="1" applyAlignment="1">
      <alignment horizontal="center" vertical="center"/>
    </xf>
    <xf numFmtId="16" fontId="7" fillId="2" borderId="14" xfId="2" applyNumberFormat="1" applyFont="1" applyFill="1" applyBorder="1" applyAlignment="1">
      <alignment horizontal="center" vertical="center"/>
    </xf>
    <xf numFmtId="16" fontId="7" fillId="2" borderId="16" xfId="2" applyNumberFormat="1" applyFont="1" applyFill="1" applyBorder="1" applyAlignment="1">
      <alignment horizontal="center" vertical="center"/>
    </xf>
    <xf numFmtId="16" fontId="7" fillId="2" borderId="16" xfId="2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vertical="center"/>
    </xf>
    <xf numFmtId="0" fontId="4" fillId="2" borderId="6" xfId="1" applyFont="1" applyFill="1" applyBorder="1" applyAlignment="1">
      <alignment vertical="center"/>
    </xf>
    <xf numFmtId="0" fontId="6" fillId="3" borderId="9" xfId="2" applyFont="1" applyFill="1" applyBorder="1" applyAlignment="1">
      <alignment horizontal="center" vertical="center"/>
    </xf>
    <xf numFmtId="0" fontId="6" fillId="3" borderId="11" xfId="2" applyFont="1" applyFill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</cellXfs>
  <cellStyles count="9">
    <cellStyle name="Normal" xfId="0" builtinId="0"/>
    <cellStyle name="Normal 2 4" xfId="1"/>
    <cellStyle name="Normal 2 7" xfId="7"/>
    <cellStyle name="Normal 7 2 4 2 3 2 3 3 2" xfId="8"/>
    <cellStyle name="Normal 7 2 4 2 3 3 3 3 2" xfId="5"/>
    <cellStyle name="Normal 7 2 4 2 3 5 3 2" xfId="3"/>
    <cellStyle name="Normal 7 2 5 2 3 2 3 3 2" xfId="6"/>
    <cellStyle name="Normal 7 2 5 2 3 3 2 2 3 2" xfId="4"/>
    <cellStyle name="Normal 7 2 5 2 3 3 2 2 4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235854</xdr:colOff>
      <xdr:row>35</xdr:row>
      <xdr:rowOff>108855</xdr:rowOff>
    </xdr:from>
    <xdr:ext cx="14236373" cy="125911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854" y="9424305"/>
          <a:ext cx="14236373" cy="1259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133350</xdr:colOff>
          <xdr:row>0</xdr:row>
          <xdr:rowOff>95250</xdr:rowOff>
        </xdr:from>
        <xdr:to>
          <xdr:col>7</xdr:col>
          <xdr:colOff>361950</xdr:colOff>
          <xdr:row>1</xdr:row>
          <xdr:rowOff>190500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8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Tạo QRCode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4</xdr:col>
      <xdr:colOff>254000</xdr:colOff>
      <xdr:row>4</xdr:row>
      <xdr:rowOff>63500</xdr:rowOff>
    </xdr:from>
    <xdr:to>
      <xdr:col>5</xdr:col>
      <xdr:colOff>523784</xdr:colOff>
      <xdr:row>7</xdr:row>
      <xdr:rowOff>12700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225" y="1006475"/>
          <a:ext cx="1117509" cy="1006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mmon/STR/3.Production%20Plan/1.Plan%20process%20new/01.Plan%20process/2017/07-Jul-2017/Plan%20PTCA%200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3.40\Production\Common\STR\3.Production%20Plan\1.Plan%20process%20new\01.Plan%20process\2017\07-Jul-2017\Plan%20PTCA%200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3.40\Original%20Data\Production\Common\STR\3.Production%20Plan\1.Plan%20process%20new\01.Plan%20process\2017\07-Jul-2017\Plan%20PTCA%200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0.%20F-6112%20AMI-Q411-H%20%2027~%2028.May.26%20%20.ht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 PTCA"/>
      <sheetName val="1.04- LABEL"/>
      <sheetName val="Label"/>
      <sheetName val="Sheet3"/>
      <sheetName val="Seal new"/>
      <sheetName val="Seal Plan"/>
      <sheetName val="PLAN UH"/>
      <sheetName val="Sheet2"/>
      <sheetName val="Sheet1"/>
      <sheetName val="MACHINE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 PTCA"/>
      <sheetName val="1.04- LABEL"/>
      <sheetName val="Label"/>
      <sheetName val="Sheet3"/>
      <sheetName val="Seal new"/>
      <sheetName val="Seal Plan"/>
      <sheetName val="PLAN UH"/>
      <sheetName val="Sheet2"/>
      <sheetName val="Sheet1"/>
      <sheetName val="MACHINE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 PTCA"/>
      <sheetName val="1.04- LABEL"/>
      <sheetName val="Label"/>
      <sheetName val="Sheet3"/>
      <sheetName val="Seal new"/>
      <sheetName val="Seal Plan"/>
      <sheetName val="PLAN UH"/>
      <sheetName val="Sheet2"/>
      <sheetName val="Sheet1"/>
      <sheetName val="MACHINE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K KT"/>
      <sheetName val="CAG"/>
      <sheetName val="PTCA"/>
      <sheetName val="1"/>
      <sheetName val="2"/>
      <sheetName val="3"/>
      <sheetName val="4"/>
      <sheetName val="5"/>
      <sheetName val="7"/>
      <sheetName val="6"/>
      <sheetName val="CA1"/>
      <sheetName val="CA1 (2)"/>
      <sheetName val="CA1 (3)"/>
      <sheetName val="CA1 (4)"/>
      <sheetName val="2.1"/>
      <sheetName val="2.2"/>
      <sheetName val="2.3"/>
      <sheetName val="2.4"/>
      <sheetName val="2.5"/>
      <sheetName val="2.6"/>
      <sheetName val="2.6 (2)"/>
      <sheetName val="2.7"/>
      <sheetName val="2.7 (2)"/>
      <sheetName val="CA2.2"/>
      <sheetName val="CA2.1"/>
    </sheetNames>
    <sheetDataSet>
      <sheetData sheetId="0"/>
      <sheetData sheetId="1"/>
      <sheetData sheetId="2">
        <row r="1">
          <cell r="C1" t="str">
            <v xml:space="preserve">PLAN STER - PTCA </v>
          </cell>
          <cell r="AA1" t="str">
            <v>Process UH</v>
          </cell>
        </row>
        <row r="2">
          <cell r="C2" t="str">
            <v>TT</v>
          </cell>
          <cell r="D2" t="str">
            <v>Material No
Type C</v>
          </cell>
          <cell r="E2" t="str">
            <v>Item Code
Type C</v>
          </cell>
          <cell r="F2" t="str">
            <v>PldOrd</v>
          </cell>
          <cell r="G2" t="str">
            <v>Material No</v>
          </cell>
          <cell r="H2" t="str">
            <v>Item code</v>
          </cell>
          <cell r="I2" t="str">
            <v>Item name</v>
          </cell>
          <cell r="J2" t="str">
            <v xml:space="preserve">Q'ty  </v>
          </cell>
          <cell r="K2" t="str">
            <v>Complete 
Date</v>
          </cell>
          <cell r="L2" t="str">
            <v>Internal Lot</v>
          </cell>
          <cell r="M2" t="str">
            <v>External Lot
Ster</v>
          </cell>
          <cell r="N2" t="str">
            <v>Q'ty  Input</v>
          </cell>
          <cell r="O2" t="str">
            <v>QA test</v>
          </cell>
          <cell r="P2" t="str">
            <v>KEEP</v>
          </cell>
          <cell r="Q2" t="str">
            <v>Destination</v>
          </cell>
          <cell r="R2" t="str">
            <v>Label</v>
          </cell>
          <cell r="S2" t="str">
            <v>Bioburden</v>
          </cell>
          <cell r="T2" t="str">
            <v>Seal</v>
          </cell>
          <cell r="U2" t="str">
            <v>Ster</v>
          </cell>
          <cell r="V2" t="str">
            <v>MẺ</v>
          </cell>
          <cell r="W2" t="str">
            <v>Phase</v>
          </cell>
          <cell r="X2" t="str">
            <v>BOXING</v>
          </cell>
          <cell r="Y2" t="str">
            <v xml:space="preserve">Test Endotoxin
 ( pcs)
</v>
          </cell>
          <cell r="Z2" t="str">
            <v>Test Particle
 ( pcs)</v>
          </cell>
          <cell r="AA2" t="str">
            <v>Label</v>
          </cell>
          <cell r="AB2" t="str">
            <v>Seal</v>
          </cell>
          <cell r="AC2" t="str">
            <v>Boxing</v>
          </cell>
          <cell r="AD2" t="str">
            <v>ETD</v>
          </cell>
          <cell r="AE2" t="str">
            <v>Family</v>
          </cell>
          <cell r="AF2" t="str">
            <v>ngày lưu kho</v>
          </cell>
          <cell r="AH2" t="str">
            <v>A</v>
          </cell>
          <cell r="AI2" t="str">
            <v>B</v>
          </cell>
          <cell r="AJ2" t="str">
            <v>C</v>
          </cell>
          <cell r="AK2" t="str">
            <v>D</v>
          </cell>
        </row>
        <row r="3">
          <cell r="C3" t="str">
            <v>Jun01-01</v>
          </cell>
          <cell r="D3">
            <v>12138121</v>
          </cell>
          <cell r="E3" t="str">
            <v>1932291-B-C</v>
          </cell>
          <cell r="F3" t="str">
            <v>1001849594</v>
          </cell>
          <cell r="G3">
            <v>11131275</v>
          </cell>
          <cell r="H3" t="str">
            <v>666013-W-A</v>
          </cell>
          <cell r="I3" t="str">
            <v>UA0035B3000</v>
          </cell>
          <cell r="J3">
            <v>50</v>
          </cell>
          <cell r="K3">
            <v>46174</v>
          </cell>
          <cell r="L3" t="str">
            <v>0103423302</v>
          </cell>
          <cell r="M3" t="str">
            <v>260514P01A</v>
          </cell>
          <cell r="N3">
            <v>50</v>
          </cell>
          <cell r="O3">
            <v>0</v>
          </cell>
          <cell r="P3">
            <v>0</v>
          </cell>
          <cell r="Q3" t="str">
            <v>Oversea</v>
          </cell>
          <cell r="R3">
            <v>46163</v>
          </cell>
          <cell r="S3">
            <v>0</v>
          </cell>
          <cell r="T3">
            <v>46164</v>
          </cell>
          <cell r="U3">
            <v>46164</v>
          </cell>
          <cell r="V3" t="str">
            <v>M7</v>
          </cell>
          <cell r="W3" t="str">
            <v>F2</v>
          </cell>
          <cell r="Y3">
            <v>0</v>
          </cell>
          <cell r="Z3">
            <v>0</v>
          </cell>
          <cell r="AA3">
            <v>37.5</v>
          </cell>
          <cell r="AB3">
            <v>86.75</v>
          </cell>
          <cell r="AC3">
            <v>58.333333333333336</v>
          </cell>
          <cell r="AD3">
            <v>46182</v>
          </cell>
          <cell r="AE3">
            <v>0</v>
          </cell>
          <cell r="AF3">
            <v>3</v>
          </cell>
          <cell r="AG3" t="e">
            <v>#N/A</v>
          </cell>
          <cell r="AH3">
            <v>3</v>
          </cell>
          <cell r="AI3">
            <v>3</v>
          </cell>
          <cell r="AJ3" t="str">
            <v>×</v>
          </cell>
          <cell r="AK3" t="str">
            <v>×</v>
          </cell>
        </row>
        <row r="4">
          <cell r="C4" t="str">
            <v>Jun01-02</v>
          </cell>
          <cell r="D4">
            <v>12126043</v>
          </cell>
          <cell r="E4" t="str">
            <v>1932301-B-C</v>
          </cell>
          <cell r="F4" t="str">
            <v>1001849595</v>
          </cell>
          <cell r="G4">
            <v>11131262</v>
          </cell>
          <cell r="H4" t="str">
            <v>566002-Z-A</v>
          </cell>
          <cell r="I4" t="str">
            <v>UJ1535B2600</v>
          </cell>
          <cell r="J4">
            <v>500</v>
          </cell>
          <cell r="K4">
            <v>46174</v>
          </cell>
          <cell r="L4" t="str">
            <v>0103423303</v>
          </cell>
          <cell r="M4" t="str">
            <v>260514P02A</v>
          </cell>
          <cell r="N4">
            <v>500</v>
          </cell>
          <cell r="O4">
            <v>0</v>
          </cell>
          <cell r="P4">
            <v>0</v>
          </cell>
          <cell r="Q4" t="str">
            <v>Oversea</v>
          </cell>
          <cell r="R4">
            <v>46163</v>
          </cell>
          <cell r="S4">
            <v>0</v>
          </cell>
          <cell r="T4">
            <v>46164</v>
          </cell>
          <cell r="U4">
            <v>46164</v>
          </cell>
          <cell r="V4" t="str">
            <v>M7</v>
          </cell>
          <cell r="W4" t="str">
            <v>F2</v>
          </cell>
          <cell r="Y4">
            <v>0</v>
          </cell>
          <cell r="Z4">
            <v>0</v>
          </cell>
          <cell r="AA4">
            <v>182.5</v>
          </cell>
          <cell r="AB4">
            <v>867.5</v>
          </cell>
          <cell r="AC4">
            <v>583.33333333333337</v>
          </cell>
          <cell r="AD4">
            <v>46182</v>
          </cell>
          <cell r="AE4">
            <v>0</v>
          </cell>
          <cell r="AF4">
            <v>3</v>
          </cell>
          <cell r="AG4" t="e">
            <v>#N/A</v>
          </cell>
          <cell r="AH4">
            <v>3</v>
          </cell>
          <cell r="AI4">
            <v>3</v>
          </cell>
          <cell r="AJ4" t="str">
            <v>×</v>
          </cell>
          <cell r="AK4" t="str">
            <v>×</v>
          </cell>
        </row>
        <row r="5">
          <cell r="C5" t="str">
            <v>Jun01-03</v>
          </cell>
          <cell r="D5">
            <v>12126031</v>
          </cell>
          <cell r="E5" t="str">
            <v>1932289-B-C</v>
          </cell>
          <cell r="F5" t="str">
            <v>1001849596</v>
          </cell>
          <cell r="G5">
            <v>11131280</v>
          </cell>
          <cell r="H5" t="str">
            <v>666018-V-A</v>
          </cell>
          <cell r="I5" t="str">
            <v>UJ3035B1800</v>
          </cell>
          <cell r="J5">
            <v>1600</v>
          </cell>
          <cell r="K5">
            <v>46174</v>
          </cell>
          <cell r="L5" t="str">
            <v>0103423304</v>
          </cell>
          <cell r="M5" t="str">
            <v>260514P03A</v>
          </cell>
          <cell r="N5">
            <v>1600</v>
          </cell>
          <cell r="O5">
            <v>0</v>
          </cell>
          <cell r="P5">
            <v>0</v>
          </cell>
          <cell r="Q5" t="str">
            <v>Oversea</v>
          </cell>
          <cell r="R5">
            <v>46163</v>
          </cell>
          <cell r="S5">
            <v>0</v>
          </cell>
          <cell r="T5">
            <v>46164</v>
          </cell>
          <cell r="U5">
            <v>46164</v>
          </cell>
          <cell r="V5" t="str">
            <v>M7</v>
          </cell>
          <cell r="W5" t="str">
            <v>F2</v>
          </cell>
          <cell r="Y5">
            <v>0</v>
          </cell>
          <cell r="Z5">
            <v>0</v>
          </cell>
          <cell r="AA5">
            <v>584</v>
          </cell>
          <cell r="AB5">
            <v>2776</v>
          </cell>
          <cell r="AC5">
            <v>2026.6666666666667</v>
          </cell>
          <cell r="AD5">
            <v>46182</v>
          </cell>
          <cell r="AE5">
            <v>0</v>
          </cell>
          <cell r="AF5">
            <v>3</v>
          </cell>
          <cell r="AG5" t="e">
            <v>#N/A</v>
          </cell>
          <cell r="AH5">
            <v>3</v>
          </cell>
          <cell r="AI5">
            <v>3</v>
          </cell>
          <cell r="AJ5" t="str">
            <v>×</v>
          </cell>
          <cell r="AK5" t="str">
            <v>×</v>
          </cell>
        </row>
        <row r="6">
          <cell r="C6" t="str">
            <v>Jun01-04</v>
          </cell>
          <cell r="D6">
            <v>12126043</v>
          </cell>
          <cell r="E6" t="str">
            <v>1932301-B-C</v>
          </cell>
          <cell r="F6" t="str">
            <v>1001849597</v>
          </cell>
          <cell r="G6">
            <v>11131262</v>
          </cell>
          <cell r="H6" t="str">
            <v>566002-Z-A</v>
          </cell>
          <cell r="I6" t="str">
            <v>UJ1535B2600</v>
          </cell>
          <cell r="J6">
            <v>1250</v>
          </cell>
          <cell r="K6">
            <v>46175</v>
          </cell>
          <cell r="L6" t="str">
            <v>0103423305</v>
          </cell>
          <cell r="M6" t="str">
            <v>260514P04A</v>
          </cell>
          <cell r="N6">
            <v>1250</v>
          </cell>
          <cell r="O6">
            <v>0</v>
          </cell>
          <cell r="P6">
            <v>0</v>
          </cell>
          <cell r="Q6" t="str">
            <v>Oversea</v>
          </cell>
          <cell r="R6">
            <v>46164</v>
          </cell>
          <cell r="S6">
            <v>0</v>
          </cell>
          <cell r="T6">
            <v>46165</v>
          </cell>
          <cell r="U6">
            <v>46165</v>
          </cell>
          <cell r="V6" t="str">
            <v>M6</v>
          </cell>
          <cell r="W6" t="str">
            <v>F2</v>
          </cell>
          <cell r="Y6">
            <v>0</v>
          </cell>
          <cell r="Z6">
            <v>0</v>
          </cell>
          <cell r="AA6">
            <v>456.25</v>
          </cell>
          <cell r="AB6">
            <v>2168.75</v>
          </cell>
          <cell r="AC6">
            <v>1458.3333333333333</v>
          </cell>
          <cell r="AD6">
            <v>46182</v>
          </cell>
          <cell r="AE6">
            <v>0</v>
          </cell>
          <cell r="AF6">
            <v>3</v>
          </cell>
          <cell r="AG6" t="e">
            <v>#N/A</v>
          </cell>
          <cell r="AH6">
            <v>3</v>
          </cell>
          <cell r="AI6">
            <v>3</v>
          </cell>
          <cell r="AJ6" t="str">
            <v>×</v>
          </cell>
          <cell r="AK6" t="str">
            <v>×</v>
          </cell>
        </row>
        <row r="7">
          <cell r="C7" t="str">
            <v>Jun01-05</v>
          </cell>
          <cell r="D7">
            <v>12126031</v>
          </cell>
          <cell r="E7" t="str">
            <v>1932289-B-C</v>
          </cell>
          <cell r="F7" t="str">
            <v>1001849598</v>
          </cell>
          <cell r="G7">
            <v>11131280</v>
          </cell>
          <cell r="H7" t="str">
            <v>666018-V-A</v>
          </cell>
          <cell r="I7" t="str">
            <v>UJ3035B1800</v>
          </cell>
          <cell r="J7">
            <v>400</v>
          </cell>
          <cell r="K7">
            <v>46175</v>
          </cell>
          <cell r="L7" t="str">
            <v>0103423306</v>
          </cell>
          <cell r="M7" t="str">
            <v>260514P05A</v>
          </cell>
          <cell r="N7">
            <v>400</v>
          </cell>
          <cell r="O7">
            <v>0</v>
          </cell>
          <cell r="P7">
            <v>0</v>
          </cell>
          <cell r="Q7" t="str">
            <v>Oversea</v>
          </cell>
          <cell r="R7">
            <v>46164</v>
          </cell>
          <cell r="S7">
            <v>0</v>
          </cell>
          <cell r="T7">
            <v>46165</v>
          </cell>
          <cell r="U7">
            <v>46165</v>
          </cell>
          <cell r="V7" t="str">
            <v>M6</v>
          </cell>
          <cell r="W7" t="str">
            <v>F2</v>
          </cell>
          <cell r="Y7">
            <v>0</v>
          </cell>
          <cell r="Z7">
            <v>0</v>
          </cell>
          <cell r="AA7">
            <v>146</v>
          </cell>
          <cell r="AB7">
            <v>694</v>
          </cell>
          <cell r="AC7">
            <v>506.66666666666669</v>
          </cell>
          <cell r="AD7">
            <v>46182</v>
          </cell>
          <cell r="AE7">
            <v>0</v>
          </cell>
          <cell r="AF7">
            <v>3</v>
          </cell>
          <cell r="AG7" t="e">
            <v>#N/A</v>
          </cell>
          <cell r="AH7">
            <v>3</v>
          </cell>
          <cell r="AI7">
            <v>3</v>
          </cell>
          <cell r="AJ7" t="str">
            <v>×</v>
          </cell>
          <cell r="AK7" t="str">
            <v>×</v>
          </cell>
        </row>
        <row r="8">
          <cell r="C8" t="str">
            <v>Jun01-06</v>
          </cell>
          <cell r="D8">
            <v>12120774</v>
          </cell>
          <cell r="E8" t="str">
            <v>2332192-0-C-CN</v>
          </cell>
          <cell r="F8" t="str">
            <v>1001849599</v>
          </cell>
          <cell r="G8">
            <v>11134235</v>
          </cell>
          <cell r="H8" t="str">
            <v>1036068-S-AK</v>
          </cell>
          <cell r="I8" t="str">
            <v>AHW14R001S CN</v>
          </cell>
          <cell r="J8">
            <v>3570</v>
          </cell>
          <cell r="K8">
            <v>46174</v>
          </cell>
          <cell r="L8" t="str">
            <v>0103423307</v>
          </cell>
          <cell r="M8" t="str">
            <v>260514A01A</v>
          </cell>
          <cell r="N8">
            <v>3586</v>
          </cell>
          <cell r="O8">
            <v>16</v>
          </cell>
          <cell r="P8">
            <v>0</v>
          </cell>
          <cell r="Q8" t="str">
            <v>China</v>
          </cell>
          <cell r="R8">
            <v>46163</v>
          </cell>
          <cell r="S8">
            <v>0</v>
          </cell>
          <cell r="T8">
            <v>46164</v>
          </cell>
          <cell r="U8">
            <v>46164</v>
          </cell>
          <cell r="V8" t="str">
            <v>M1</v>
          </cell>
          <cell r="W8" t="str">
            <v>F3</v>
          </cell>
          <cell r="Y8">
            <v>0</v>
          </cell>
          <cell r="Z8">
            <v>0</v>
          </cell>
          <cell r="AA8">
            <v>2522.8000000000002</v>
          </cell>
          <cell r="AB8">
            <v>7015.05</v>
          </cell>
          <cell r="AC8">
            <v>3451</v>
          </cell>
          <cell r="AD8">
            <v>46191</v>
          </cell>
          <cell r="AE8" t="str">
            <v>B</v>
          </cell>
          <cell r="AF8" t="str">
            <v>3</v>
          </cell>
          <cell r="AG8" t="e">
            <v>#N/A</v>
          </cell>
          <cell r="AH8">
            <v>2</v>
          </cell>
          <cell r="AI8">
            <v>2</v>
          </cell>
          <cell r="AJ8">
            <v>2</v>
          </cell>
          <cell r="AK8">
            <v>2</v>
          </cell>
        </row>
        <row r="9">
          <cell r="C9" t="str">
            <v>Jun01-07</v>
          </cell>
          <cell r="D9">
            <v>12120774</v>
          </cell>
          <cell r="E9" t="str">
            <v>2332192-0-C-CN</v>
          </cell>
          <cell r="F9" t="str">
            <v>1001849600</v>
          </cell>
          <cell r="G9">
            <v>11134235</v>
          </cell>
          <cell r="H9" t="str">
            <v>1036068-S-AK</v>
          </cell>
          <cell r="I9" t="str">
            <v>AHW14R001S CN</v>
          </cell>
          <cell r="J9">
            <v>3570</v>
          </cell>
          <cell r="K9">
            <v>46174</v>
          </cell>
          <cell r="L9" t="str">
            <v>0103423308</v>
          </cell>
          <cell r="M9" t="str">
            <v>260514A02A</v>
          </cell>
          <cell r="N9">
            <v>3586</v>
          </cell>
          <cell r="O9">
            <v>16</v>
          </cell>
          <cell r="P9">
            <v>0</v>
          </cell>
          <cell r="Q9" t="str">
            <v>China</v>
          </cell>
          <cell r="R9">
            <v>46163</v>
          </cell>
          <cell r="S9">
            <v>0</v>
          </cell>
          <cell r="T9">
            <v>46164</v>
          </cell>
          <cell r="U9">
            <v>46164</v>
          </cell>
          <cell r="V9" t="str">
            <v>M2</v>
          </cell>
          <cell r="W9" t="str">
            <v>F3</v>
          </cell>
          <cell r="Y9">
            <v>0</v>
          </cell>
          <cell r="Z9">
            <v>0</v>
          </cell>
          <cell r="AA9">
            <v>2522.8000000000002</v>
          </cell>
          <cell r="AB9">
            <v>7015.05</v>
          </cell>
          <cell r="AC9">
            <v>3451</v>
          </cell>
          <cell r="AD9">
            <v>46191</v>
          </cell>
          <cell r="AE9" t="str">
            <v>B</v>
          </cell>
          <cell r="AF9" t="str">
            <v>3</v>
          </cell>
          <cell r="AG9" t="e">
            <v>#N/A</v>
          </cell>
          <cell r="AH9">
            <v>2</v>
          </cell>
          <cell r="AI9">
            <v>2</v>
          </cell>
          <cell r="AJ9">
            <v>2</v>
          </cell>
          <cell r="AK9">
            <v>2</v>
          </cell>
        </row>
        <row r="10">
          <cell r="C10" t="str">
            <v>Jun01-08</v>
          </cell>
          <cell r="D10">
            <v>12120774</v>
          </cell>
          <cell r="E10" t="str">
            <v>2332192-0-C-CN</v>
          </cell>
          <cell r="F10" t="str">
            <v>1001849601</v>
          </cell>
          <cell r="G10">
            <v>11134235</v>
          </cell>
          <cell r="H10" t="str">
            <v>1036068-S-AK</v>
          </cell>
          <cell r="I10" t="str">
            <v>AHW14R001S CN</v>
          </cell>
          <cell r="J10">
            <v>2370</v>
          </cell>
          <cell r="K10">
            <v>46174</v>
          </cell>
          <cell r="L10" t="str">
            <v>0103423309</v>
          </cell>
          <cell r="M10" t="str">
            <v>260514A03A</v>
          </cell>
          <cell r="N10">
            <v>2389</v>
          </cell>
          <cell r="O10">
            <v>16</v>
          </cell>
          <cell r="P10">
            <v>0</v>
          </cell>
          <cell r="Q10" t="str">
            <v>China</v>
          </cell>
          <cell r="R10">
            <v>46163</v>
          </cell>
          <cell r="S10">
            <v>0</v>
          </cell>
          <cell r="T10">
            <v>46164</v>
          </cell>
          <cell r="U10">
            <v>46164</v>
          </cell>
          <cell r="V10" t="str">
            <v>M3</v>
          </cell>
          <cell r="W10" t="str">
            <v>F3</v>
          </cell>
          <cell r="Y10">
            <v>3</v>
          </cell>
          <cell r="Z10">
            <v>0</v>
          </cell>
          <cell r="AA10">
            <v>1674.8</v>
          </cell>
          <cell r="AB10">
            <v>4657.05</v>
          </cell>
          <cell r="AC10">
            <v>2291</v>
          </cell>
          <cell r="AD10">
            <v>46191</v>
          </cell>
          <cell r="AE10" t="str">
            <v>B</v>
          </cell>
          <cell r="AF10" t="str">
            <v>3</v>
          </cell>
          <cell r="AG10" t="e">
            <v>#N/A</v>
          </cell>
          <cell r="AH10">
            <v>2</v>
          </cell>
          <cell r="AI10">
            <v>2</v>
          </cell>
          <cell r="AJ10">
            <v>2</v>
          </cell>
          <cell r="AK10">
            <v>2</v>
          </cell>
        </row>
        <row r="11">
          <cell r="C11" t="str">
            <v>Jun01-09</v>
          </cell>
          <cell r="D11">
            <v>12125012</v>
          </cell>
          <cell r="E11" t="str">
            <v>2332200-0-C-CN</v>
          </cell>
          <cell r="F11" t="str">
            <v>1001849602</v>
          </cell>
          <cell r="G11">
            <v>11134237</v>
          </cell>
          <cell r="H11" t="str">
            <v>1436196-Q-A</v>
          </cell>
          <cell r="I11" t="str">
            <v>AHW14R004S CN</v>
          </cell>
          <cell r="J11">
            <v>2370</v>
          </cell>
          <cell r="K11">
            <v>46174</v>
          </cell>
          <cell r="L11" t="str">
            <v>0103423310</v>
          </cell>
          <cell r="M11" t="str">
            <v>260514A04A</v>
          </cell>
          <cell r="N11">
            <v>2386</v>
          </cell>
          <cell r="O11">
            <v>16</v>
          </cell>
          <cell r="P11">
            <v>0</v>
          </cell>
          <cell r="Q11" t="str">
            <v>China</v>
          </cell>
          <cell r="R11">
            <v>46163</v>
          </cell>
          <cell r="S11">
            <v>0</v>
          </cell>
          <cell r="T11">
            <v>46164</v>
          </cell>
          <cell r="U11">
            <v>46164</v>
          </cell>
          <cell r="V11" t="str">
            <v>M4</v>
          </cell>
          <cell r="W11" t="str">
            <v>F3</v>
          </cell>
          <cell r="Y11">
            <v>0</v>
          </cell>
          <cell r="Z11">
            <v>0</v>
          </cell>
          <cell r="AA11">
            <v>1674.8</v>
          </cell>
          <cell r="AB11">
            <v>4657.05</v>
          </cell>
          <cell r="AC11">
            <v>2291</v>
          </cell>
          <cell r="AD11">
            <v>46191</v>
          </cell>
          <cell r="AE11" t="str">
            <v>B</v>
          </cell>
          <cell r="AF11" t="str">
            <v>3</v>
          </cell>
          <cell r="AG11" t="e">
            <v>#N/A</v>
          </cell>
          <cell r="AH11">
            <v>3</v>
          </cell>
          <cell r="AI11">
            <v>3</v>
          </cell>
          <cell r="AJ11">
            <v>2</v>
          </cell>
          <cell r="AK11">
            <v>2</v>
          </cell>
        </row>
        <row r="12">
          <cell r="C12" t="str">
            <v>Jun01-10</v>
          </cell>
          <cell r="D12">
            <v>12111388</v>
          </cell>
          <cell r="E12" t="str">
            <v>1832267-A-CK</v>
          </cell>
          <cell r="F12" t="str">
            <v>1001849603</v>
          </cell>
          <cell r="G12">
            <v>11117530</v>
          </cell>
          <cell r="H12" t="str">
            <v>2331140-0-AK</v>
          </cell>
          <cell r="I12" t="str">
            <v>AGH146000J P CE4</v>
          </cell>
          <cell r="J12">
            <v>5</v>
          </cell>
          <cell r="K12">
            <v>46174</v>
          </cell>
          <cell r="L12" t="str">
            <v>0103423311</v>
          </cell>
          <cell r="M12" t="str">
            <v>260514A05A</v>
          </cell>
          <cell r="N12">
            <v>5</v>
          </cell>
          <cell r="O12">
            <v>0</v>
          </cell>
          <cell r="P12">
            <v>0</v>
          </cell>
          <cell r="Q12" t="str">
            <v>Oversea</v>
          </cell>
          <cell r="R12">
            <v>46163</v>
          </cell>
          <cell r="S12">
            <v>0</v>
          </cell>
          <cell r="T12">
            <v>46164</v>
          </cell>
          <cell r="U12">
            <v>46164</v>
          </cell>
          <cell r="V12" t="str">
            <v>M5</v>
          </cell>
          <cell r="W12" t="str">
            <v>F3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46178</v>
          </cell>
          <cell r="AE12">
            <v>0</v>
          </cell>
          <cell r="AF12">
            <v>0</v>
          </cell>
          <cell r="AG12" t="e">
            <v>#N/A</v>
          </cell>
          <cell r="AH12">
            <v>2</v>
          </cell>
          <cell r="AI12">
            <v>2</v>
          </cell>
          <cell r="AJ12">
            <v>2</v>
          </cell>
          <cell r="AK12">
            <v>2</v>
          </cell>
        </row>
        <row r="13">
          <cell r="C13" t="str">
            <v>Jun01-11</v>
          </cell>
          <cell r="D13">
            <v>12114297</v>
          </cell>
          <cell r="E13" t="str">
            <v>2032218-A-CB</v>
          </cell>
          <cell r="F13" t="str">
            <v>1001849604</v>
          </cell>
          <cell r="G13">
            <v>11117355</v>
          </cell>
          <cell r="H13" t="str">
            <v>2131727-B-A</v>
          </cell>
          <cell r="I13" t="str">
            <v>AHW14R013P NOCE</v>
          </cell>
          <cell r="J13">
            <v>55</v>
          </cell>
          <cell r="K13">
            <v>46174</v>
          </cell>
          <cell r="L13" t="str">
            <v>0103423312</v>
          </cell>
          <cell r="M13" t="str">
            <v>260514A06A</v>
          </cell>
          <cell r="N13">
            <v>55</v>
          </cell>
          <cell r="O13">
            <v>0</v>
          </cell>
          <cell r="P13">
            <v>0</v>
          </cell>
          <cell r="Q13" t="str">
            <v>Oversea</v>
          </cell>
          <cell r="R13">
            <v>46163</v>
          </cell>
          <cell r="S13">
            <v>0</v>
          </cell>
          <cell r="T13">
            <v>46164</v>
          </cell>
          <cell r="U13">
            <v>46164</v>
          </cell>
          <cell r="V13" t="str">
            <v>M5</v>
          </cell>
          <cell r="W13" t="str">
            <v>F3</v>
          </cell>
          <cell r="Y13">
            <v>0</v>
          </cell>
          <cell r="Z13">
            <v>0</v>
          </cell>
          <cell r="AA13">
            <v>20.166666666666668</v>
          </cell>
          <cell r="AB13">
            <v>108.075</v>
          </cell>
          <cell r="AC13">
            <v>105.41666666666667</v>
          </cell>
          <cell r="AD13">
            <v>46178</v>
          </cell>
          <cell r="AE13">
            <v>0</v>
          </cell>
          <cell r="AF13">
            <v>0</v>
          </cell>
          <cell r="AG13" t="e">
            <v>#N/A</v>
          </cell>
          <cell r="AH13">
            <v>2</v>
          </cell>
          <cell r="AI13">
            <v>2</v>
          </cell>
          <cell r="AJ13">
            <v>2</v>
          </cell>
          <cell r="AK13">
            <v>2</v>
          </cell>
        </row>
        <row r="14">
          <cell r="C14" t="str">
            <v>Jun01-12</v>
          </cell>
          <cell r="D14">
            <v>12111386</v>
          </cell>
          <cell r="E14" t="str">
            <v>1832265-A-CK</v>
          </cell>
          <cell r="F14" t="str">
            <v>1001849605</v>
          </cell>
          <cell r="G14">
            <v>11126777</v>
          </cell>
          <cell r="H14" t="str">
            <v>2131639-D-AK</v>
          </cell>
          <cell r="I14" t="str">
            <v>AGH146000 R NOCE</v>
          </cell>
          <cell r="J14">
            <v>50</v>
          </cell>
          <cell r="K14">
            <v>46174</v>
          </cell>
          <cell r="L14" t="str">
            <v>0103423313</v>
          </cell>
          <cell r="M14" t="str">
            <v>260514A07A</v>
          </cell>
          <cell r="N14">
            <v>50</v>
          </cell>
          <cell r="O14">
            <v>0</v>
          </cell>
          <cell r="P14">
            <v>0</v>
          </cell>
          <cell r="Q14" t="str">
            <v>Oversea</v>
          </cell>
          <cell r="R14">
            <v>46163</v>
          </cell>
          <cell r="S14">
            <v>0</v>
          </cell>
          <cell r="T14">
            <v>46164</v>
          </cell>
          <cell r="U14">
            <v>46164</v>
          </cell>
          <cell r="V14" t="str">
            <v>M5</v>
          </cell>
          <cell r="W14" t="str">
            <v>F3</v>
          </cell>
          <cell r="Y14">
            <v>0</v>
          </cell>
          <cell r="Z14">
            <v>0</v>
          </cell>
          <cell r="AA14">
            <v>17.5</v>
          </cell>
          <cell r="AB14">
            <v>77.166666666666671</v>
          </cell>
          <cell r="AC14">
            <v>35.833333333333336</v>
          </cell>
          <cell r="AD14">
            <v>46182</v>
          </cell>
          <cell r="AE14">
            <v>0</v>
          </cell>
          <cell r="AF14">
            <v>0</v>
          </cell>
          <cell r="AG14" t="e">
            <v>#N/A</v>
          </cell>
          <cell r="AH14">
            <v>2</v>
          </cell>
          <cell r="AI14">
            <v>2</v>
          </cell>
          <cell r="AJ14">
            <v>2</v>
          </cell>
          <cell r="AK14">
            <v>2</v>
          </cell>
        </row>
        <row r="15">
          <cell r="C15" t="str">
            <v>Jun01-13</v>
          </cell>
          <cell r="D15">
            <v>12110579</v>
          </cell>
          <cell r="E15" t="str">
            <v>1832327-A-CK</v>
          </cell>
          <cell r="F15" t="str">
            <v>1001849606</v>
          </cell>
          <cell r="G15">
            <v>11126837</v>
          </cell>
          <cell r="H15" t="str">
            <v>2131721-C-AK</v>
          </cell>
          <cell r="I15" t="str">
            <v>APW14R009S NOCE</v>
          </cell>
          <cell r="J15">
            <v>95</v>
          </cell>
          <cell r="K15">
            <v>46174</v>
          </cell>
          <cell r="L15" t="str">
            <v>0103423314</v>
          </cell>
          <cell r="M15" t="str">
            <v>260514A08A</v>
          </cell>
          <cell r="N15">
            <v>95</v>
          </cell>
          <cell r="O15">
            <v>0</v>
          </cell>
          <cell r="P15">
            <v>0</v>
          </cell>
          <cell r="Q15" t="str">
            <v>Oversea</v>
          </cell>
          <cell r="R15">
            <v>46163</v>
          </cell>
          <cell r="S15">
            <v>0</v>
          </cell>
          <cell r="T15">
            <v>46164</v>
          </cell>
          <cell r="U15">
            <v>46164</v>
          </cell>
          <cell r="V15" t="str">
            <v>M5</v>
          </cell>
          <cell r="W15" t="str">
            <v>F3</v>
          </cell>
          <cell r="Y15">
            <v>0</v>
          </cell>
          <cell r="Z15">
            <v>0</v>
          </cell>
          <cell r="AA15">
            <v>33.25</v>
          </cell>
          <cell r="AB15">
            <v>146.61666666666667</v>
          </cell>
          <cell r="AC15">
            <v>68.083333333333329</v>
          </cell>
          <cell r="AD15">
            <v>46182</v>
          </cell>
          <cell r="AE15">
            <v>0</v>
          </cell>
          <cell r="AF15">
            <v>0</v>
          </cell>
          <cell r="AG15" t="e">
            <v>#N/A</v>
          </cell>
          <cell r="AH15">
            <v>2</v>
          </cell>
          <cell r="AI15">
            <v>2</v>
          </cell>
          <cell r="AJ15">
            <v>2</v>
          </cell>
          <cell r="AK15">
            <v>2</v>
          </cell>
        </row>
        <row r="16">
          <cell r="C16" t="str">
            <v>Jun01-14</v>
          </cell>
          <cell r="D16">
            <v>12110581</v>
          </cell>
          <cell r="E16" t="str">
            <v>1832308-A-CK</v>
          </cell>
          <cell r="F16" t="str">
            <v>1001849607</v>
          </cell>
          <cell r="G16">
            <v>11126839</v>
          </cell>
          <cell r="H16" t="str">
            <v>2131723-C-AK</v>
          </cell>
          <cell r="I16" t="str">
            <v>APW14R005S NOCE</v>
          </cell>
          <cell r="J16">
            <v>55</v>
          </cell>
          <cell r="K16">
            <v>46174</v>
          </cell>
          <cell r="L16" t="str">
            <v>0103423315</v>
          </cell>
          <cell r="M16" t="str">
            <v>260514A09A</v>
          </cell>
          <cell r="N16">
            <v>57</v>
          </cell>
          <cell r="O16">
            <v>2</v>
          </cell>
          <cell r="P16">
            <v>0</v>
          </cell>
          <cell r="Q16" t="str">
            <v>Oversea</v>
          </cell>
          <cell r="R16">
            <v>46163</v>
          </cell>
          <cell r="S16">
            <v>0</v>
          </cell>
          <cell r="T16">
            <v>46164</v>
          </cell>
          <cell r="U16">
            <v>46164</v>
          </cell>
          <cell r="V16" t="str">
            <v>M5</v>
          </cell>
          <cell r="W16" t="str">
            <v>F3</v>
          </cell>
          <cell r="Y16">
            <v>0</v>
          </cell>
          <cell r="Z16">
            <v>0</v>
          </cell>
          <cell r="AA16">
            <v>19.25</v>
          </cell>
          <cell r="AB16">
            <v>84.88333333333334</v>
          </cell>
          <cell r="AC16">
            <v>39.416666666666664</v>
          </cell>
          <cell r="AD16">
            <v>46182</v>
          </cell>
          <cell r="AE16">
            <v>0</v>
          </cell>
          <cell r="AF16">
            <v>0</v>
          </cell>
          <cell r="AG16" t="e">
            <v>#N/A</v>
          </cell>
          <cell r="AH16">
            <v>2</v>
          </cell>
          <cell r="AI16">
            <v>2</v>
          </cell>
          <cell r="AJ16">
            <v>2</v>
          </cell>
          <cell r="AK16">
            <v>2</v>
          </cell>
        </row>
        <row r="17">
          <cell r="C17" t="str">
            <v>Jun01-15</v>
          </cell>
          <cell r="D17">
            <v>12111428</v>
          </cell>
          <cell r="E17" t="str">
            <v>1832247-A-CK</v>
          </cell>
          <cell r="F17" t="str">
            <v>1001849608</v>
          </cell>
          <cell r="G17">
            <v>11126825</v>
          </cell>
          <cell r="H17" t="str">
            <v>2131709-B-AK</v>
          </cell>
          <cell r="I17" t="str">
            <v>AHW14R007P NOCE</v>
          </cell>
          <cell r="J17">
            <v>145</v>
          </cell>
          <cell r="K17">
            <v>46174</v>
          </cell>
          <cell r="L17" t="str">
            <v>0103423316</v>
          </cell>
          <cell r="M17" t="str">
            <v>260514A10A</v>
          </cell>
          <cell r="N17">
            <v>145</v>
          </cell>
          <cell r="O17">
            <v>0</v>
          </cell>
          <cell r="P17">
            <v>0</v>
          </cell>
          <cell r="Q17" t="str">
            <v>Oversea</v>
          </cell>
          <cell r="R17">
            <v>46163</v>
          </cell>
          <cell r="S17">
            <v>0</v>
          </cell>
          <cell r="T17">
            <v>46164</v>
          </cell>
          <cell r="U17">
            <v>46164</v>
          </cell>
          <cell r="V17" t="str">
            <v>M5</v>
          </cell>
          <cell r="W17" t="str">
            <v>F3</v>
          </cell>
          <cell r="Y17">
            <v>0</v>
          </cell>
          <cell r="Z17">
            <v>0</v>
          </cell>
          <cell r="AA17">
            <v>50.75</v>
          </cell>
          <cell r="AB17">
            <v>223.78333333333333</v>
          </cell>
          <cell r="AC17">
            <v>103.91666666666667</v>
          </cell>
          <cell r="AD17">
            <v>46182</v>
          </cell>
          <cell r="AE17">
            <v>0</v>
          </cell>
          <cell r="AF17">
            <v>0</v>
          </cell>
          <cell r="AG17" t="e">
            <v>#N/A</v>
          </cell>
          <cell r="AH17">
            <v>2</v>
          </cell>
          <cell r="AI17">
            <v>2</v>
          </cell>
          <cell r="AJ17">
            <v>2</v>
          </cell>
          <cell r="AK17">
            <v>2</v>
          </cell>
        </row>
        <row r="18">
          <cell r="C18" t="str">
            <v>Jun01-16</v>
          </cell>
          <cell r="D18">
            <v>12111401</v>
          </cell>
          <cell r="E18" t="str">
            <v>1832236-B-CK</v>
          </cell>
          <cell r="F18" t="str">
            <v>1001849609</v>
          </cell>
          <cell r="G18">
            <v>11132265</v>
          </cell>
          <cell r="H18" t="str">
            <v>1731083-F-AK</v>
          </cell>
          <cell r="I18" t="str">
            <v>AGH143091 US</v>
          </cell>
          <cell r="J18">
            <v>165</v>
          </cell>
          <cell r="K18">
            <v>46174</v>
          </cell>
          <cell r="L18" t="str">
            <v>0103423317</v>
          </cell>
          <cell r="M18" t="str">
            <v>260514A11A</v>
          </cell>
          <cell r="N18">
            <v>165</v>
          </cell>
          <cell r="O18">
            <v>0</v>
          </cell>
          <cell r="P18">
            <v>0</v>
          </cell>
          <cell r="Q18" t="str">
            <v>USA</v>
          </cell>
          <cell r="R18">
            <v>46163</v>
          </cell>
          <cell r="S18">
            <v>0</v>
          </cell>
          <cell r="T18">
            <v>46164</v>
          </cell>
          <cell r="U18">
            <v>46164</v>
          </cell>
          <cell r="V18" t="str">
            <v>M5</v>
          </cell>
          <cell r="W18" t="str">
            <v>F3</v>
          </cell>
          <cell r="Y18">
            <v>0</v>
          </cell>
          <cell r="Z18">
            <v>0</v>
          </cell>
          <cell r="AA18">
            <v>64.625</v>
          </cell>
          <cell r="AB18">
            <v>338.25</v>
          </cell>
          <cell r="AC18">
            <v>206.25</v>
          </cell>
          <cell r="AD18">
            <v>46178</v>
          </cell>
          <cell r="AE18">
            <v>0</v>
          </cell>
          <cell r="AF18">
            <v>0</v>
          </cell>
          <cell r="AG18" t="e">
            <v>#N/A</v>
          </cell>
          <cell r="AH18">
            <v>2</v>
          </cell>
          <cell r="AI18">
            <v>2</v>
          </cell>
          <cell r="AJ18">
            <v>2</v>
          </cell>
          <cell r="AK18">
            <v>2</v>
          </cell>
        </row>
        <row r="19">
          <cell r="C19" t="str">
            <v>Jun01-17</v>
          </cell>
          <cell r="D19">
            <v>12111379</v>
          </cell>
          <cell r="E19" t="str">
            <v>1832297-A-CK</v>
          </cell>
          <cell r="F19" t="str">
            <v>1001849610</v>
          </cell>
          <cell r="G19">
            <v>11132313</v>
          </cell>
          <cell r="H19" t="str">
            <v>1731139-E-AK</v>
          </cell>
          <cell r="I19" t="str">
            <v>AGH147000 US</v>
          </cell>
          <cell r="J19">
            <v>575</v>
          </cell>
          <cell r="K19">
            <v>46174</v>
          </cell>
          <cell r="L19" t="str">
            <v>0103423318</v>
          </cell>
          <cell r="M19" t="str">
            <v>260514A12A</v>
          </cell>
          <cell r="N19">
            <v>585</v>
          </cell>
          <cell r="O19">
            <v>0</v>
          </cell>
          <cell r="P19">
            <v>0</v>
          </cell>
          <cell r="Q19" t="str">
            <v>USA</v>
          </cell>
          <cell r="R19">
            <v>46163</v>
          </cell>
          <cell r="S19">
            <v>0</v>
          </cell>
          <cell r="T19">
            <v>46164</v>
          </cell>
          <cell r="U19">
            <v>46164</v>
          </cell>
          <cell r="V19" t="str">
            <v>M5</v>
          </cell>
          <cell r="W19" t="str">
            <v>F3</v>
          </cell>
          <cell r="Y19">
            <v>10</v>
          </cell>
          <cell r="Z19">
            <v>0</v>
          </cell>
          <cell r="AA19">
            <v>225.20833333333334</v>
          </cell>
          <cell r="AB19">
            <v>967.91666666666663</v>
          </cell>
          <cell r="AC19">
            <v>575</v>
          </cell>
          <cell r="AD19">
            <v>46178</v>
          </cell>
          <cell r="AE19">
            <v>0</v>
          </cell>
          <cell r="AF19">
            <v>0</v>
          </cell>
          <cell r="AG19" t="e">
            <v>#N/A</v>
          </cell>
          <cell r="AH19">
            <v>2</v>
          </cell>
          <cell r="AI19">
            <v>2</v>
          </cell>
          <cell r="AJ19">
            <v>2</v>
          </cell>
          <cell r="AK19">
            <v>2</v>
          </cell>
        </row>
        <row r="20">
          <cell r="C20" t="str">
            <v>Jun01-18</v>
          </cell>
          <cell r="D20">
            <v>12109833</v>
          </cell>
          <cell r="E20" t="str">
            <v>1832265-A-CK-H</v>
          </cell>
          <cell r="F20" t="str">
            <v>1001849611</v>
          </cell>
          <cell r="G20">
            <v>11132210</v>
          </cell>
          <cell r="H20" t="str">
            <v>1731135-E-AK-P</v>
          </cell>
          <cell r="I20" t="str">
            <v>AGH146000 US</v>
          </cell>
          <cell r="J20">
            <v>540</v>
          </cell>
          <cell r="K20">
            <v>46174</v>
          </cell>
          <cell r="L20" t="str">
            <v>0103423319</v>
          </cell>
          <cell r="M20" t="str">
            <v>260514A13A</v>
          </cell>
          <cell r="N20">
            <v>540</v>
          </cell>
          <cell r="O20">
            <v>0</v>
          </cell>
          <cell r="P20">
            <v>0</v>
          </cell>
          <cell r="Q20" t="str">
            <v>USA</v>
          </cell>
          <cell r="R20">
            <v>46163</v>
          </cell>
          <cell r="S20">
            <v>0</v>
          </cell>
          <cell r="T20">
            <v>46164</v>
          </cell>
          <cell r="U20">
            <v>46164</v>
          </cell>
          <cell r="V20" t="str">
            <v>M5</v>
          </cell>
          <cell r="W20" t="str">
            <v>F3</v>
          </cell>
          <cell r="Y20">
            <v>0</v>
          </cell>
          <cell r="Z20">
            <v>0</v>
          </cell>
          <cell r="AA20">
            <v>306</v>
          </cell>
          <cell r="AB20">
            <v>909</v>
          </cell>
          <cell r="AC20">
            <v>540</v>
          </cell>
          <cell r="AD20">
            <v>46178</v>
          </cell>
          <cell r="AE20">
            <v>0</v>
          </cell>
          <cell r="AF20">
            <v>0</v>
          </cell>
          <cell r="AH20">
            <v>2</v>
          </cell>
          <cell r="AI20">
            <v>2</v>
          </cell>
          <cell r="AJ20">
            <v>2</v>
          </cell>
          <cell r="AK20">
            <v>2</v>
          </cell>
        </row>
        <row r="21">
          <cell r="C21" t="str">
            <v>Jun01-19</v>
          </cell>
          <cell r="D21">
            <v>12109833</v>
          </cell>
          <cell r="E21" t="str">
            <v>1832265-A-CK-H</v>
          </cell>
          <cell r="F21" t="str">
            <v>1001849612</v>
          </cell>
          <cell r="G21">
            <v>11132210</v>
          </cell>
          <cell r="H21" t="str">
            <v>1731135-E-AK-P</v>
          </cell>
          <cell r="I21" t="str">
            <v>AGH146000 US</v>
          </cell>
          <cell r="J21">
            <v>680</v>
          </cell>
          <cell r="K21">
            <v>46174</v>
          </cell>
          <cell r="L21" t="str">
            <v>0103423320</v>
          </cell>
          <cell r="M21" t="str">
            <v>260514A14A</v>
          </cell>
          <cell r="N21">
            <v>680</v>
          </cell>
          <cell r="O21">
            <v>0</v>
          </cell>
          <cell r="P21">
            <v>0</v>
          </cell>
          <cell r="Q21" t="str">
            <v>USA</v>
          </cell>
          <cell r="R21">
            <v>46163</v>
          </cell>
          <cell r="S21">
            <v>0</v>
          </cell>
          <cell r="T21">
            <v>46164</v>
          </cell>
          <cell r="U21">
            <v>46164</v>
          </cell>
          <cell r="V21" t="str">
            <v>M5</v>
          </cell>
          <cell r="W21" t="str">
            <v>F3</v>
          </cell>
          <cell r="Y21">
            <v>0</v>
          </cell>
          <cell r="Z21">
            <v>0</v>
          </cell>
          <cell r="AA21">
            <v>385.33333333333331</v>
          </cell>
          <cell r="AB21">
            <v>1144.6666666666667</v>
          </cell>
          <cell r="AC21">
            <v>680</v>
          </cell>
          <cell r="AD21">
            <v>46178</v>
          </cell>
          <cell r="AE21">
            <v>0</v>
          </cell>
          <cell r="AF21">
            <v>0</v>
          </cell>
          <cell r="AH21">
            <v>2</v>
          </cell>
          <cell r="AI21">
            <v>2</v>
          </cell>
          <cell r="AJ21">
            <v>2</v>
          </cell>
          <cell r="AK21">
            <v>2</v>
          </cell>
        </row>
        <row r="22">
          <cell r="C22" t="str">
            <v>Jun01-20</v>
          </cell>
          <cell r="D22">
            <v>12125071</v>
          </cell>
          <cell r="E22" t="str">
            <v>2332497-0-C-CN</v>
          </cell>
          <cell r="F22" t="str">
            <v>1001849613</v>
          </cell>
          <cell r="G22">
            <v>11134241</v>
          </cell>
          <cell r="H22" t="str">
            <v>1436298-J-AK</v>
          </cell>
          <cell r="I22" t="str">
            <v>APW14R005S CN</v>
          </cell>
          <cell r="J22">
            <v>2450</v>
          </cell>
          <cell r="K22">
            <v>46174</v>
          </cell>
          <cell r="L22" t="str">
            <v>0103423321</v>
          </cell>
          <cell r="M22" t="str">
            <v>260514A15A</v>
          </cell>
          <cell r="N22">
            <v>2469</v>
          </cell>
          <cell r="O22">
            <v>16</v>
          </cell>
          <cell r="P22">
            <v>0</v>
          </cell>
          <cell r="Q22" t="str">
            <v>China</v>
          </cell>
          <cell r="R22">
            <v>46163</v>
          </cell>
          <cell r="S22">
            <v>0</v>
          </cell>
          <cell r="T22">
            <v>46164</v>
          </cell>
          <cell r="U22">
            <v>46164</v>
          </cell>
          <cell r="V22" t="str">
            <v>M6</v>
          </cell>
          <cell r="W22" t="str">
            <v>F2</v>
          </cell>
          <cell r="Y22">
            <v>3</v>
          </cell>
          <cell r="Z22">
            <v>0</v>
          </cell>
          <cell r="AA22">
            <v>1731.3333333333333</v>
          </cell>
          <cell r="AB22">
            <v>3781.1666666666665</v>
          </cell>
          <cell r="AC22">
            <v>2368.3333333333335</v>
          </cell>
          <cell r="AD22">
            <v>46191</v>
          </cell>
          <cell r="AE22" t="str">
            <v>C</v>
          </cell>
          <cell r="AF22">
            <v>2</v>
          </cell>
          <cell r="AH22">
            <v>2</v>
          </cell>
          <cell r="AI22">
            <v>2</v>
          </cell>
          <cell r="AJ22">
            <v>2</v>
          </cell>
          <cell r="AK22">
            <v>2</v>
          </cell>
        </row>
        <row r="23">
          <cell r="C23" t="str">
            <v>Jun01-21</v>
          </cell>
          <cell r="D23">
            <v>12125069</v>
          </cell>
          <cell r="E23" t="str">
            <v>2332495-0-C-CN</v>
          </cell>
          <cell r="F23" t="str">
            <v>1001849614</v>
          </cell>
          <cell r="G23">
            <v>11134240</v>
          </cell>
          <cell r="H23" t="str">
            <v>1436296-J-AK</v>
          </cell>
          <cell r="I23" t="str">
            <v>APW14R009S CN</v>
          </cell>
          <cell r="J23">
            <v>1100</v>
          </cell>
          <cell r="K23">
            <v>46174</v>
          </cell>
          <cell r="L23" t="str">
            <v>0103423322</v>
          </cell>
          <cell r="M23" t="str">
            <v>260514A16A</v>
          </cell>
          <cell r="N23">
            <v>1100</v>
          </cell>
          <cell r="O23">
            <v>0</v>
          </cell>
          <cell r="P23">
            <v>0</v>
          </cell>
          <cell r="Q23" t="str">
            <v>China</v>
          </cell>
          <cell r="R23">
            <v>46163</v>
          </cell>
          <cell r="S23">
            <v>0</v>
          </cell>
          <cell r="T23">
            <v>46164</v>
          </cell>
          <cell r="U23">
            <v>46164</v>
          </cell>
          <cell r="V23" t="str">
            <v>M6</v>
          </cell>
          <cell r="W23" t="str">
            <v>F2</v>
          </cell>
          <cell r="Y23">
            <v>0</v>
          </cell>
          <cell r="Z23">
            <v>0</v>
          </cell>
          <cell r="AA23">
            <v>777.33333333333337</v>
          </cell>
          <cell r="AB23">
            <v>1697.6666666666667</v>
          </cell>
          <cell r="AC23">
            <v>1063.3333333333333</v>
          </cell>
          <cell r="AD23">
            <v>46191</v>
          </cell>
          <cell r="AE23" t="str">
            <v>C</v>
          </cell>
          <cell r="AF23">
            <v>2</v>
          </cell>
          <cell r="AH23">
            <v>2</v>
          </cell>
          <cell r="AI23">
            <v>2</v>
          </cell>
          <cell r="AJ23">
            <v>2</v>
          </cell>
          <cell r="AK23">
            <v>2</v>
          </cell>
        </row>
        <row r="24">
          <cell r="C24" t="str">
            <v>Jun02-01</v>
          </cell>
          <cell r="D24">
            <v>12120774</v>
          </cell>
          <cell r="E24" t="str">
            <v>2332192-0-C-CN</v>
          </cell>
          <cell r="F24" t="str">
            <v>1001849615</v>
          </cell>
          <cell r="G24">
            <v>11134235</v>
          </cell>
          <cell r="H24" t="str">
            <v>1036068-S-AK</v>
          </cell>
          <cell r="I24" t="str">
            <v>AHW14R001S CN</v>
          </cell>
          <cell r="J24">
            <v>3570</v>
          </cell>
          <cell r="K24">
            <v>46175</v>
          </cell>
          <cell r="L24" t="str">
            <v>0103423323</v>
          </cell>
          <cell r="M24" t="str">
            <v>260514A17A</v>
          </cell>
          <cell r="N24">
            <v>3586</v>
          </cell>
          <cell r="O24">
            <v>16</v>
          </cell>
          <cell r="P24">
            <v>0</v>
          </cell>
          <cell r="Q24" t="str">
            <v>China</v>
          </cell>
          <cell r="R24">
            <v>46164</v>
          </cell>
          <cell r="S24">
            <v>0</v>
          </cell>
          <cell r="T24">
            <v>46165</v>
          </cell>
          <cell r="U24">
            <v>46165</v>
          </cell>
          <cell r="V24" t="str">
            <v>M1</v>
          </cell>
          <cell r="W24" t="str">
            <v>F3</v>
          </cell>
          <cell r="Y24">
            <v>0</v>
          </cell>
          <cell r="Z24">
            <v>0</v>
          </cell>
          <cell r="AA24">
            <v>2522.8000000000002</v>
          </cell>
          <cell r="AB24">
            <v>7015.05</v>
          </cell>
          <cell r="AC24">
            <v>3451</v>
          </cell>
          <cell r="AD24">
            <v>46191</v>
          </cell>
          <cell r="AE24" t="str">
            <v>B</v>
          </cell>
          <cell r="AF24" t="str">
            <v>3</v>
          </cell>
          <cell r="AH24">
            <v>2</v>
          </cell>
          <cell r="AI24">
            <v>2</v>
          </cell>
          <cell r="AJ24">
            <v>2</v>
          </cell>
          <cell r="AK24">
            <v>2</v>
          </cell>
        </row>
        <row r="25">
          <cell r="C25" t="str">
            <v>Jun02-02</v>
          </cell>
          <cell r="D25">
            <v>12120774</v>
          </cell>
          <cell r="E25" t="str">
            <v>2332192-0-C-CN</v>
          </cell>
          <cell r="F25" t="str">
            <v>1001849616</v>
          </cell>
          <cell r="G25">
            <v>11134235</v>
          </cell>
          <cell r="H25" t="str">
            <v>1036068-S-AK</v>
          </cell>
          <cell r="I25" t="str">
            <v>AHW14R001S CN</v>
          </cell>
          <cell r="J25">
            <v>3570</v>
          </cell>
          <cell r="K25">
            <v>46175</v>
          </cell>
          <cell r="L25" t="str">
            <v>0103423324</v>
          </cell>
          <cell r="M25" t="str">
            <v>260514A18A</v>
          </cell>
          <cell r="N25">
            <v>3586</v>
          </cell>
          <cell r="O25">
            <v>16</v>
          </cell>
          <cell r="P25">
            <v>0</v>
          </cell>
          <cell r="Q25" t="str">
            <v>China</v>
          </cell>
          <cell r="R25">
            <v>46164</v>
          </cell>
          <cell r="S25">
            <v>0</v>
          </cell>
          <cell r="T25">
            <v>46165</v>
          </cell>
          <cell r="U25">
            <v>46165</v>
          </cell>
          <cell r="V25" t="str">
            <v>M2</v>
          </cell>
          <cell r="W25" t="str">
            <v>F3</v>
          </cell>
          <cell r="Y25">
            <v>0</v>
          </cell>
          <cell r="Z25">
            <v>0</v>
          </cell>
          <cell r="AA25">
            <v>2522.8000000000002</v>
          </cell>
          <cell r="AB25">
            <v>7015.05</v>
          </cell>
          <cell r="AC25">
            <v>3451</v>
          </cell>
          <cell r="AD25">
            <v>46191</v>
          </cell>
          <cell r="AE25" t="str">
            <v>B</v>
          </cell>
          <cell r="AF25" t="str">
            <v>3</v>
          </cell>
          <cell r="AH25">
            <v>2</v>
          </cell>
          <cell r="AI25">
            <v>2</v>
          </cell>
          <cell r="AJ25">
            <v>2</v>
          </cell>
          <cell r="AK25">
            <v>2</v>
          </cell>
        </row>
        <row r="26">
          <cell r="C26" t="str">
            <v>Jun02-03</v>
          </cell>
          <cell r="D26">
            <v>12120774</v>
          </cell>
          <cell r="E26" t="str">
            <v>2332192-0-C-CN</v>
          </cell>
          <cell r="F26" t="str">
            <v>1001849617</v>
          </cell>
          <cell r="G26">
            <v>11134235</v>
          </cell>
          <cell r="H26" t="str">
            <v>1036068-S-AK</v>
          </cell>
          <cell r="I26" t="str">
            <v>AHW14R001S CN</v>
          </cell>
          <cell r="J26">
            <v>2370</v>
          </cell>
          <cell r="K26">
            <v>46175</v>
          </cell>
          <cell r="L26" t="str">
            <v>0103423325</v>
          </cell>
          <cell r="M26" t="str">
            <v>260514A19A</v>
          </cell>
          <cell r="N26">
            <v>2389</v>
          </cell>
          <cell r="O26">
            <v>16</v>
          </cell>
          <cell r="P26">
            <v>0</v>
          </cell>
          <cell r="Q26" t="str">
            <v>China</v>
          </cell>
          <cell r="R26">
            <v>46164</v>
          </cell>
          <cell r="S26">
            <v>0</v>
          </cell>
          <cell r="T26">
            <v>46165</v>
          </cell>
          <cell r="U26">
            <v>46165</v>
          </cell>
          <cell r="V26" t="str">
            <v>M3</v>
          </cell>
          <cell r="W26" t="str">
            <v>F3</v>
          </cell>
          <cell r="Y26">
            <v>3</v>
          </cell>
          <cell r="Z26">
            <v>0</v>
          </cell>
          <cell r="AA26">
            <v>1674.8</v>
          </cell>
          <cell r="AB26">
            <v>4657.05</v>
          </cell>
          <cell r="AC26">
            <v>2291</v>
          </cell>
          <cell r="AD26">
            <v>46191</v>
          </cell>
          <cell r="AE26" t="str">
            <v>B</v>
          </cell>
          <cell r="AF26" t="str">
            <v>3</v>
          </cell>
          <cell r="AH26">
            <v>2</v>
          </cell>
          <cell r="AI26">
            <v>2</v>
          </cell>
          <cell r="AJ26">
            <v>2</v>
          </cell>
          <cell r="AK26">
            <v>2</v>
          </cell>
        </row>
        <row r="27">
          <cell r="C27" t="str">
            <v>Jun02-04</v>
          </cell>
          <cell r="D27">
            <v>12120774</v>
          </cell>
          <cell r="E27" t="str">
            <v>2332192-0-C-CN</v>
          </cell>
          <cell r="F27" t="str">
            <v>1001849618</v>
          </cell>
          <cell r="G27">
            <v>11134235</v>
          </cell>
          <cell r="H27" t="str">
            <v>1036068-S-AK</v>
          </cell>
          <cell r="I27" t="str">
            <v>AHW14R001S CN</v>
          </cell>
          <cell r="J27">
            <v>2370</v>
          </cell>
          <cell r="K27">
            <v>46175</v>
          </cell>
          <cell r="L27" t="str">
            <v>0103423326</v>
          </cell>
          <cell r="M27" t="str">
            <v>260514A20A</v>
          </cell>
          <cell r="N27">
            <v>2386</v>
          </cell>
          <cell r="O27">
            <v>16</v>
          </cell>
          <cell r="P27">
            <v>0</v>
          </cell>
          <cell r="Q27" t="str">
            <v>China</v>
          </cell>
          <cell r="R27">
            <v>46164</v>
          </cell>
          <cell r="S27">
            <v>0</v>
          </cell>
          <cell r="T27">
            <v>46165</v>
          </cell>
          <cell r="U27">
            <v>46165</v>
          </cell>
          <cell r="V27" t="str">
            <v>M4</v>
          </cell>
          <cell r="W27" t="str">
            <v>F3</v>
          </cell>
          <cell r="Y27">
            <v>0</v>
          </cell>
          <cell r="Z27">
            <v>0</v>
          </cell>
          <cell r="AA27">
            <v>1674.8</v>
          </cell>
          <cell r="AB27">
            <v>4657.05</v>
          </cell>
          <cell r="AC27">
            <v>2291</v>
          </cell>
          <cell r="AD27">
            <v>46191</v>
          </cell>
          <cell r="AE27" t="str">
            <v>B</v>
          </cell>
          <cell r="AF27" t="str">
            <v>3</v>
          </cell>
          <cell r="AH27">
            <v>2</v>
          </cell>
          <cell r="AI27">
            <v>2</v>
          </cell>
          <cell r="AJ27">
            <v>2</v>
          </cell>
          <cell r="AK27">
            <v>2</v>
          </cell>
        </row>
        <row r="28">
          <cell r="C28" t="str">
            <v>Jun02-05</v>
          </cell>
          <cell r="D28">
            <v>12125012</v>
          </cell>
          <cell r="E28" t="str">
            <v>2332200-0-C-CN</v>
          </cell>
          <cell r="F28" t="str">
            <v>1001849619</v>
          </cell>
          <cell r="G28">
            <v>11134237</v>
          </cell>
          <cell r="H28" t="str">
            <v>1436196-Q-A</v>
          </cell>
          <cell r="I28" t="str">
            <v>AHW14R004S CN</v>
          </cell>
          <cell r="J28">
            <v>3570</v>
          </cell>
          <cell r="K28">
            <v>46175</v>
          </cell>
          <cell r="L28" t="str">
            <v>0103423327</v>
          </cell>
          <cell r="M28" t="str">
            <v>260514A21A</v>
          </cell>
          <cell r="N28">
            <v>3586</v>
          </cell>
          <cell r="O28">
            <v>16</v>
          </cell>
          <cell r="P28">
            <v>0</v>
          </cell>
          <cell r="Q28" t="str">
            <v>China</v>
          </cell>
          <cell r="R28">
            <v>46164</v>
          </cell>
          <cell r="S28">
            <v>0</v>
          </cell>
          <cell r="T28">
            <v>46165</v>
          </cell>
          <cell r="U28">
            <v>46165</v>
          </cell>
          <cell r="V28" t="str">
            <v>M5</v>
          </cell>
          <cell r="W28" t="str">
            <v>F3</v>
          </cell>
          <cell r="Y28">
            <v>0</v>
          </cell>
          <cell r="Z28">
            <v>0</v>
          </cell>
          <cell r="AA28">
            <v>2522.8000000000002</v>
          </cell>
          <cell r="AB28">
            <v>7015.05</v>
          </cell>
          <cell r="AC28">
            <v>3451</v>
          </cell>
          <cell r="AD28">
            <v>46191</v>
          </cell>
          <cell r="AE28" t="str">
            <v>B</v>
          </cell>
          <cell r="AF28" t="str">
            <v>3</v>
          </cell>
          <cell r="AH28">
            <v>3</v>
          </cell>
          <cell r="AI28">
            <v>3</v>
          </cell>
          <cell r="AJ28">
            <v>2</v>
          </cell>
          <cell r="AK28">
            <v>2</v>
          </cell>
        </row>
        <row r="29">
          <cell r="C29" t="str">
            <v>Jun02-06</v>
          </cell>
          <cell r="D29">
            <v>12114299</v>
          </cell>
          <cell r="E29" t="str">
            <v>2032220-A-CB</v>
          </cell>
          <cell r="F29" t="str">
            <v>1001849620</v>
          </cell>
          <cell r="G29">
            <v>11117357</v>
          </cell>
          <cell r="H29" t="str">
            <v>2131729-B-A</v>
          </cell>
          <cell r="I29" t="str">
            <v>AHW14R313P NOCE</v>
          </cell>
          <cell r="J29">
            <v>10</v>
          </cell>
          <cell r="K29">
            <v>46175</v>
          </cell>
          <cell r="L29" t="str">
            <v>0103423328</v>
          </cell>
          <cell r="M29" t="str">
            <v>260514A22A</v>
          </cell>
          <cell r="N29">
            <v>10</v>
          </cell>
          <cell r="O29">
            <v>0</v>
          </cell>
          <cell r="P29">
            <v>0</v>
          </cell>
          <cell r="Q29" t="str">
            <v>Oversea</v>
          </cell>
          <cell r="R29">
            <v>46164</v>
          </cell>
          <cell r="S29">
            <v>0</v>
          </cell>
          <cell r="T29">
            <v>46165</v>
          </cell>
          <cell r="U29">
            <v>46165</v>
          </cell>
          <cell r="V29" t="str">
            <v>M6</v>
          </cell>
          <cell r="W29" t="str">
            <v>F2</v>
          </cell>
          <cell r="Y29">
            <v>0</v>
          </cell>
          <cell r="Z29">
            <v>0</v>
          </cell>
          <cell r="AA29">
            <v>3.6666666666666665</v>
          </cell>
          <cell r="AB29">
            <v>19.649999999999999</v>
          </cell>
          <cell r="AC29">
            <v>19.166666666666668</v>
          </cell>
          <cell r="AD29">
            <v>46188</v>
          </cell>
          <cell r="AE29">
            <v>0</v>
          </cell>
          <cell r="AF29">
            <v>0</v>
          </cell>
          <cell r="AH29">
            <v>2</v>
          </cell>
          <cell r="AI29">
            <v>2</v>
          </cell>
          <cell r="AJ29">
            <v>2</v>
          </cell>
          <cell r="AK29">
            <v>2</v>
          </cell>
        </row>
        <row r="30">
          <cell r="C30" t="str">
            <v>Jun02-07</v>
          </cell>
          <cell r="D30">
            <v>12110575</v>
          </cell>
          <cell r="E30" t="str">
            <v>1832211-A-CK</v>
          </cell>
          <cell r="F30" t="str">
            <v>1001849621</v>
          </cell>
          <cell r="G30">
            <v>11126794</v>
          </cell>
          <cell r="H30" t="str">
            <v>2131656-D-AK</v>
          </cell>
          <cell r="I30" t="str">
            <v>AGP140002 NOCE</v>
          </cell>
          <cell r="J30">
            <v>15</v>
          </cell>
          <cell r="K30">
            <v>46175</v>
          </cell>
          <cell r="L30" t="str">
            <v>0103423329</v>
          </cell>
          <cell r="M30" t="str">
            <v>260514A23A</v>
          </cell>
          <cell r="N30">
            <v>15</v>
          </cell>
          <cell r="O30">
            <v>0</v>
          </cell>
          <cell r="P30">
            <v>0</v>
          </cell>
          <cell r="Q30" t="str">
            <v>Oversea</v>
          </cell>
          <cell r="R30">
            <v>46164</v>
          </cell>
          <cell r="S30">
            <v>0</v>
          </cell>
          <cell r="T30">
            <v>46165</v>
          </cell>
          <cell r="U30">
            <v>46165</v>
          </cell>
          <cell r="V30" t="str">
            <v>M6</v>
          </cell>
          <cell r="W30" t="str">
            <v>F2</v>
          </cell>
          <cell r="Y30">
            <v>0</v>
          </cell>
          <cell r="Z30">
            <v>0</v>
          </cell>
          <cell r="AA30">
            <v>5.25</v>
          </cell>
          <cell r="AB30">
            <v>23.15</v>
          </cell>
          <cell r="AC30">
            <v>10.75</v>
          </cell>
          <cell r="AD30">
            <v>46182</v>
          </cell>
          <cell r="AE30">
            <v>0</v>
          </cell>
          <cell r="AF30">
            <v>0</v>
          </cell>
          <cell r="AH30">
            <v>2</v>
          </cell>
          <cell r="AI30">
            <v>2</v>
          </cell>
          <cell r="AJ30">
            <v>2</v>
          </cell>
          <cell r="AK30">
            <v>2</v>
          </cell>
        </row>
        <row r="31">
          <cell r="C31" t="str">
            <v>Jun02-08</v>
          </cell>
          <cell r="D31">
            <v>12114296</v>
          </cell>
          <cell r="E31" t="str">
            <v>2032217-A-CB</v>
          </cell>
          <cell r="F31" t="str">
            <v>1001849622</v>
          </cell>
          <cell r="G31">
            <v>11117354</v>
          </cell>
          <cell r="H31" t="str">
            <v>2131726-B-A</v>
          </cell>
          <cell r="I31" t="str">
            <v>AHW14R013S NOCE</v>
          </cell>
          <cell r="J31">
            <v>30</v>
          </cell>
          <cell r="K31">
            <v>46175</v>
          </cell>
          <cell r="L31" t="str">
            <v>0103423330</v>
          </cell>
          <cell r="M31" t="str">
            <v>260514A24A</v>
          </cell>
          <cell r="N31">
            <v>30</v>
          </cell>
          <cell r="O31">
            <v>0</v>
          </cell>
          <cell r="P31">
            <v>0</v>
          </cell>
          <cell r="Q31" t="str">
            <v>Oversea</v>
          </cell>
          <cell r="R31">
            <v>46164</v>
          </cell>
          <cell r="S31">
            <v>0</v>
          </cell>
          <cell r="T31">
            <v>46165</v>
          </cell>
          <cell r="U31">
            <v>46165</v>
          </cell>
          <cell r="V31" t="str">
            <v>M6</v>
          </cell>
          <cell r="W31" t="str">
            <v>F2</v>
          </cell>
          <cell r="Y31">
            <v>0</v>
          </cell>
          <cell r="Z31">
            <v>0</v>
          </cell>
          <cell r="AA31">
            <v>11</v>
          </cell>
          <cell r="AB31">
            <v>58.95</v>
          </cell>
          <cell r="AC31">
            <v>57.5</v>
          </cell>
          <cell r="AD31">
            <v>46184</v>
          </cell>
          <cell r="AE31">
            <v>0</v>
          </cell>
          <cell r="AF31">
            <v>0</v>
          </cell>
          <cell r="AH31">
            <v>2</v>
          </cell>
          <cell r="AI31">
            <v>2</v>
          </cell>
          <cell r="AJ31">
            <v>2</v>
          </cell>
          <cell r="AK31">
            <v>2</v>
          </cell>
        </row>
        <row r="32">
          <cell r="C32" t="str">
            <v>Jun02-09</v>
          </cell>
          <cell r="D32">
            <v>12111487</v>
          </cell>
          <cell r="E32" t="str">
            <v>1832282-A-CK</v>
          </cell>
          <cell r="F32" t="str">
            <v>1001849623</v>
          </cell>
          <cell r="G32">
            <v>11126857</v>
          </cell>
          <cell r="H32" t="str">
            <v>2231010-B-AK</v>
          </cell>
          <cell r="I32" t="str">
            <v>PAGH18M371 NOCE</v>
          </cell>
          <cell r="J32">
            <v>50</v>
          </cell>
          <cell r="K32">
            <v>46175</v>
          </cell>
          <cell r="L32" t="str">
            <v>0103423331</v>
          </cell>
          <cell r="M32" t="str">
            <v>260514A25A</v>
          </cell>
          <cell r="N32">
            <v>50</v>
          </cell>
          <cell r="O32">
            <v>0</v>
          </cell>
          <cell r="P32">
            <v>0</v>
          </cell>
          <cell r="Q32" t="str">
            <v>Oversea</v>
          </cell>
          <cell r="R32">
            <v>46164</v>
          </cell>
          <cell r="S32">
            <v>0</v>
          </cell>
          <cell r="T32">
            <v>46165</v>
          </cell>
          <cell r="U32">
            <v>46165</v>
          </cell>
          <cell r="V32" t="str">
            <v>M6</v>
          </cell>
          <cell r="W32" t="str">
            <v>F2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46182</v>
          </cell>
          <cell r="AE32">
            <v>0</v>
          </cell>
          <cell r="AF32">
            <v>0</v>
          </cell>
          <cell r="AH32">
            <v>2</v>
          </cell>
          <cell r="AI32">
            <v>2</v>
          </cell>
          <cell r="AJ32">
            <v>2</v>
          </cell>
          <cell r="AK32">
            <v>2</v>
          </cell>
        </row>
        <row r="33">
          <cell r="C33" t="str">
            <v>Jun02-10</v>
          </cell>
          <cell r="D33">
            <v>12111440</v>
          </cell>
          <cell r="E33" t="str">
            <v>1832253-A-CK</v>
          </cell>
          <cell r="F33" t="str">
            <v>1001849624</v>
          </cell>
          <cell r="G33">
            <v>11126833</v>
          </cell>
          <cell r="H33" t="str">
            <v>2131717-B-AK</v>
          </cell>
          <cell r="I33" t="str">
            <v>AHW14R011P NOCE</v>
          </cell>
          <cell r="J33">
            <v>85</v>
          </cell>
          <cell r="K33">
            <v>46175</v>
          </cell>
          <cell r="L33" t="str">
            <v>0103423332</v>
          </cell>
          <cell r="M33" t="str">
            <v>260514A26A</v>
          </cell>
          <cell r="N33">
            <v>85</v>
          </cell>
          <cell r="O33">
            <v>0</v>
          </cell>
          <cell r="P33">
            <v>0</v>
          </cell>
          <cell r="Q33" t="str">
            <v>Oversea</v>
          </cell>
          <cell r="R33">
            <v>46164</v>
          </cell>
          <cell r="S33">
            <v>0</v>
          </cell>
          <cell r="T33">
            <v>46165</v>
          </cell>
          <cell r="U33">
            <v>46165</v>
          </cell>
          <cell r="V33" t="str">
            <v>M6</v>
          </cell>
          <cell r="W33" t="str">
            <v>F2</v>
          </cell>
          <cell r="Y33">
            <v>0</v>
          </cell>
          <cell r="Z33">
            <v>0</v>
          </cell>
          <cell r="AA33">
            <v>29.75</v>
          </cell>
          <cell r="AB33">
            <v>131.18333333333331</v>
          </cell>
          <cell r="AC33">
            <v>60.916666666666664</v>
          </cell>
          <cell r="AD33">
            <v>46182</v>
          </cell>
          <cell r="AE33">
            <v>0</v>
          </cell>
          <cell r="AF33">
            <v>0</v>
          </cell>
          <cell r="AH33">
            <v>2</v>
          </cell>
          <cell r="AI33">
            <v>2</v>
          </cell>
          <cell r="AJ33">
            <v>2</v>
          </cell>
          <cell r="AK33">
            <v>2</v>
          </cell>
        </row>
        <row r="34">
          <cell r="C34" t="str">
            <v>Jun02-11</v>
          </cell>
          <cell r="D34">
            <v>12001365</v>
          </cell>
          <cell r="E34" t="str">
            <v>1832373-0-CK</v>
          </cell>
          <cell r="F34" t="str">
            <v>1001849625</v>
          </cell>
          <cell r="G34">
            <v>11117129</v>
          </cell>
          <cell r="H34" t="str">
            <v>2331087-0-AK</v>
          </cell>
          <cell r="I34" t="str">
            <v>AG149001 CE3</v>
          </cell>
          <cell r="J34">
            <v>160</v>
          </cell>
          <cell r="K34">
            <v>46175</v>
          </cell>
          <cell r="L34" t="str">
            <v>0103423333</v>
          </cell>
          <cell r="M34" t="str">
            <v>260514A27A</v>
          </cell>
          <cell r="N34">
            <v>160</v>
          </cell>
          <cell r="O34">
            <v>0</v>
          </cell>
          <cell r="P34">
            <v>0</v>
          </cell>
          <cell r="Q34" t="str">
            <v>Oversea</v>
          </cell>
          <cell r="R34">
            <v>46164</v>
          </cell>
          <cell r="S34">
            <v>0</v>
          </cell>
          <cell r="T34">
            <v>46165</v>
          </cell>
          <cell r="U34">
            <v>46165</v>
          </cell>
          <cell r="V34" t="str">
            <v>M6</v>
          </cell>
          <cell r="W34" t="str">
            <v>F2</v>
          </cell>
          <cell r="Y34">
            <v>0</v>
          </cell>
          <cell r="Z34">
            <v>0</v>
          </cell>
          <cell r="AA34">
            <v>56</v>
          </cell>
          <cell r="AB34">
            <v>234.66666666666666</v>
          </cell>
          <cell r="AC34">
            <v>114.66666666666667</v>
          </cell>
          <cell r="AD34">
            <v>46182</v>
          </cell>
          <cell r="AE34">
            <v>0</v>
          </cell>
          <cell r="AF34">
            <v>0</v>
          </cell>
          <cell r="AH34">
            <v>2</v>
          </cell>
          <cell r="AI34">
            <v>2</v>
          </cell>
          <cell r="AJ34">
            <v>2</v>
          </cell>
          <cell r="AK34">
            <v>2</v>
          </cell>
        </row>
        <row r="35">
          <cell r="C35" t="str">
            <v>Jun02-12</v>
          </cell>
          <cell r="D35">
            <v>12111436</v>
          </cell>
          <cell r="E35" t="str">
            <v>1832261-A-CK</v>
          </cell>
          <cell r="F35" t="str">
            <v>1001849626</v>
          </cell>
          <cell r="G35">
            <v>11126829</v>
          </cell>
          <cell r="H35" t="str">
            <v>2131713-B-AK</v>
          </cell>
          <cell r="I35" t="str">
            <v>AHW14R008P NOCE</v>
          </cell>
          <cell r="J35">
            <v>235</v>
          </cell>
          <cell r="K35">
            <v>46175</v>
          </cell>
          <cell r="L35" t="str">
            <v>0103423334</v>
          </cell>
          <cell r="M35" t="str">
            <v>260514A28A</v>
          </cell>
          <cell r="N35">
            <v>235</v>
          </cell>
          <cell r="O35">
            <v>0</v>
          </cell>
          <cell r="P35">
            <v>0</v>
          </cell>
          <cell r="Q35" t="str">
            <v>Oversea</v>
          </cell>
          <cell r="R35">
            <v>46164</v>
          </cell>
          <cell r="S35">
            <v>0</v>
          </cell>
          <cell r="T35">
            <v>46165</v>
          </cell>
          <cell r="U35">
            <v>46165</v>
          </cell>
          <cell r="V35" t="str">
            <v>M6</v>
          </cell>
          <cell r="W35" t="str">
            <v>F2</v>
          </cell>
          <cell r="Y35">
            <v>0</v>
          </cell>
          <cell r="Z35">
            <v>0</v>
          </cell>
          <cell r="AA35">
            <v>82.25</v>
          </cell>
          <cell r="AB35">
            <v>362.68333333333334</v>
          </cell>
          <cell r="AC35">
            <v>168.41666666666666</v>
          </cell>
          <cell r="AD35">
            <v>46182</v>
          </cell>
          <cell r="AE35">
            <v>0</v>
          </cell>
          <cell r="AF35">
            <v>0</v>
          </cell>
          <cell r="AH35">
            <v>2</v>
          </cell>
          <cell r="AI35">
            <v>2</v>
          </cell>
          <cell r="AJ35">
            <v>2</v>
          </cell>
          <cell r="AK35">
            <v>2</v>
          </cell>
        </row>
        <row r="36">
          <cell r="C36" t="str">
            <v>Jun02-13</v>
          </cell>
          <cell r="D36">
            <v>12114375</v>
          </cell>
          <cell r="E36" t="str">
            <v>1832348-A-C</v>
          </cell>
          <cell r="F36" t="str">
            <v>1001849627</v>
          </cell>
          <cell r="G36">
            <v>11127218</v>
          </cell>
          <cell r="H36" t="str">
            <v>2131626-B-A</v>
          </cell>
          <cell r="I36" t="str">
            <v>WAIN-CKI-200-BS NOCE</v>
          </cell>
          <cell r="J36">
            <v>2</v>
          </cell>
          <cell r="K36">
            <v>46175</v>
          </cell>
          <cell r="L36" t="str">
            <v>0103423335</v>
          </cell>
          <cell r="M36" t="str">
            <v>260514A29A</v>
          </cell>
          <cell r="N36">
            <v>2</v>
          </cell>
          <cell r="O36">
            <v>0</v>
          </cell>
          <cell r="P36">
            <v>0</v>
          </cell>
          <cell r="Q36" t="str">
            <v>Oversea</v>
          </cell>
          <cell r="R36">
            <v>46164</v>
          </cell>
          <cell r="S36">
            <v>0</v>
          </cell>
          <cell r="T36">
            <v>46165</v>
          </cell>
          <cell r="U36">
            <v>46165</v>
          </cell>
          <cell r="V36" t="str">
            <v>M6</v>
          </cell>
          <cell r="W36" t="str">
            <v>F2</v>
          </cell>
          <cell r="Y36">
            <v>0</v>
          </cell>
          <cell r="Z36">
            <v>0</v>
          </cell>
          <cell r="AA36">
            <v>0.73333333333333328</v>
          </cell>
          <cell r="AB36">
            <v>3.93</v>
          </cell>
          <cell r="AC36">
            <v>3.8333333333333335</v>
          </cell>
          <cell r="AD36">
            <v>46205</v>
          </cell>
          <cell r="AE36">
            <v>0</v>
          </cell>
          <cell r="AF36">
            <v>0</v>
          </cell>
          <cell r="AH36">
            <v>3</v>
          </cell>
          <cell r="AI36">
            <v>3</v>
          </cell>
          <cell r="AJ36">
            <v>2</v>
          </cell>
          <cell r="AK36">
            <v>2</v>
          </cell>
        </row>
        <row r="37">
          <cell r="C37" t="str">
            <v>Jun02-14</v>
          </cell>
          <cell r="D37">
            <v>12111079</v>
          </cell>
          <cell r="E37" t="str">
            <v>1832353-A-C</v>
          </cell>
          <cell r="F37" t="str">
            <v>1001849628</v>
          </cell>
          <cell r="G37">
            <v>11131246</v>
          </cell>
          <cell r="H37" t="str">
            <v>2331231-A-A</v>
          </cell>
          <cell r="I37" t="str">
            <v>WAMS-180-1645 NOCE</v>
          </cell>
          <cell r="J37">
            <v>2</v>
          </cell>
          <cell r="K37">
            <v>46175</v>
          </cell>
          <cell r="L37" t="str">
            <v>0103423336</v>
          </cell>
          <cell r="M37" t="str">
            <v>260514A30A</v>
          </cell>
          <cell r="N37">
            <v>2</v>
          </cell>
          <cell r="O37">
            <v>0</v>
          </cell>
          <cell r="P37">
            <v>0</v>
          </cell>
          <cell r="Q37" t="str">
            <v>Oversea</v>
          </cell>
          <cell r="R37">
            <v>46164</v>
          </cell>
          <cell r="S37">
            <v>0</v>
          </cell>
          <cell r="T37">
            <v>46165</v>
          </cell>
          <cell r="U37">
            <v>46165</v>
          </cell>
          <cell r="V37" t="str">
            <v>M6</v>
          </cell>
          <cell r="W37" t="str">
            <v>F2</v>
          </cell>
          <cell r="Y37">
            <v>0</v>
          </cell>
          <cell r="Z37">
            <v>0</v>
          </cell>
          <cell r="AA37">
            <v>0.73333333333333328</v>
          </cell>
          <cell r="AB37">
            <v>3.93</v>
          </cell>
          <cell r="AC37">
            <v>3.8333333333333335</v>
          </cell>
          <cell r="AD37">
            <v>46205</v>
          </cell>
          <cell r="AE37">
            <v>0</v>
          </cell>
          <cell r="AF37">
            <v>0</v>
          </cell>
          <cell r="AH37">
            <v>3</v>
          </cell>
          <cell r="AI37">
            <v>3</v>
          </cell>
          <cell r="AJ37" t="str">
            <v>×</v>
          </cell>
          <cell r="AK37">
            <v>3</v>
          </cell>
        </row>
        <row r="38">
          <cell r="C38" t="str">
            <v>Jun02-15</v>
          </cell>
          <cell r="D38">
            <v>12111083</v>
          </cell>
          <cell r="E38" t="str">
            <v>1832357-A-C</v>
          </cell>
          <cell r="F38" t="str">
            <v>1001849629</v>
          </cell>
          <cell r="G38">
            <v>11131252</v>
          </cell>
          <cell r="H38" t="str">
            <v>2331237-A-A</v>
          </cell>
          <cell r="I38" t="str">
            <v>WAMS-180-16WA NOCE</v>
          </cell>
          <cell r="J38">
            <v>50</v>
          </cell>
          <cell r="K38">
            <v>46175</v>
          </cell>
          <cell r="L38" t="str">
            <v>0103423337</v>
          </cell>
          <cell r="M38" t="str">
            <v>260514A31A</v>
          </cell>
          <cell r="N38">
            <v>50</v>
          </cell>
          <cell r="O38">
            <v>0</v>
          </cell>
          <cell r="P38">
            <v>0</v>
          </cell>
          <cell r="Q38" t="str">
            <v>Oversea</v>
          </cell>
          <cell r="R38">
            <v>46164</v>
          </cell>
          <cell r="S38">
            <v>0</v>
          </cell>
          <cell r="T38">
            <v>46165</v>
          </cell>
          <cell r="U38">
            <v>46165</v>
          </cell>
          <cell r="V38" t="str">
            <v>M6</v>
          </cell>
          <cell r="W38" t="str">
            <v>F2</v>
          </cell>
          <cell r="Y38">
            <v>0</v>
          </cell>
          <cell r="Z38">
            <v>0</v>
          </cell>
          <cell r="AA38">
            <v>35.833333333333336</v>
          </cell>
          <cell r="AB38">
            <v>167.83333333333334</v>
          </cell>
          <cell r="AC38">
            <v>117.41666666666667</v>
          </cell>
          <cell r="AD38">
            <v>46205</v>
          </cell>
          <cell r="AE38">
            <v>0</v>
          </cell>
          <cell r="AF38">
            <v>0</v>
          </cell>
          <cell r="AH38">
            <v>3</v>
          </cell>
          <cell r="AI38">
            <v>3</v>
          </cell>
          <cell r="AJ38" t="str">
            <v>×</v>
          </cell>
          <cell r="AK38">
            <v>3</v>
          </cell>
        </row>
        <row r="39">
          <cell r="C39" t="str">
            <v>Jun02-16</v>
          </cell>
          <cell r="D39">
            <v>12125069</v>
          </cell>
          <cell r="E39" t="str">
            <v>2332495-0-C-CN</v>
          </cell>
          <cell r="F39" t="str">
            <v>1001850132</v>
          </cell>
          <cell r="G39">
            <v>11134240</v>
          </cell>
          <cell r="H39" t="str">
            <v>1436296-J-AK</v>
          </cell>
          <cell r="I39" t="str">
            <v>APW14R009S CN</v>
          </cell>
          <cell r="J39">
            <v>2700</v>
          </cell>
          <cell r="K39">
            <v>46175</v>
          </cell>
          <cell r="L39" t="str">
            <v>0103424066</v>
          </cell>
          <cell r="M39" t="str">
            <v>260514A32A</v>
          </cell>
          <cell r="N39">
            <v>2703</v>
          </cell>
          <cell r="O39">
            <v>0</v>
          </cell>
          <cell r="P39">
            <v>0</v>
          </cell>
          <cell r="Q39" t="str">
            <v>China</v>
          </cell>
          <cell r="R39">
            <v>46164</v>
          </cell>
          <cell r="S39">
            <v>0</v>
          </cell>
          <cell r="T39">
            <v>46165</v>
          </cell>
          <cell r="U39">
            <v>46165</v>
          </cell>
          <cell r="V39" t="str">
            <v>M7</v>
          </cell>
          <cell r="W39" t="str">
            <v>F2</v>
          </cell>
          <cell r="Y39">
            <v>3</v>
          </cell>
          <cell r="Z39">
            <v>0</v>
          </cell>
          <cell r="AA39">
            <v>1908</v>
          </cell>
          <cell r="AB39">
            <v>4166.9999999999991</v>
          </cell>
          <cell r="AC39">
            <v>2610</v>
          </cell>
          <cell r="AD39">
            <v>46191</v>
          </cell>
          <cell r="AE39" t="str">
            <v>C</v>
          </cell>
          <cell r="AF39">
            <v>2</v>
          </cell>
          <cell r="AH39">
            <v>2</v>
          </cell>
          <cell r="AI39">
            <v>2</v>
          </cell>
          <cell r="AJ39">
            <v>2</v>
          </cell>
          <cell r="AK39">
            <v>2</v>
          </cell>
        </row>
        <row r="40">
          <cell r="C40" t="str">
            <v>Jun02-17</v>
          </cell>
          <cell r="D40">
            <v>12125012</v>
          </cell>
          <cell r="E40" t="str">
            <v>2332200-0-C-CN</v>
          </cell>
          <cell r="F40" t="str">
            <v>1001850133</v>
          </cell>
          <cell r="G40">
            <v>11134237</v>
          </cell>
          <cell r="H40" t="str">
            <v>1436196-Q-A</v>
          </cell>
          <cell r="I40" t="str">
            <v>AHW14R004S CN</v>
          </cell>
          <cell r="J40">
            <v>490</v>
          </cell>
          <cell r="K40">
            <v>46175</v>
          </cell>
          <cell r="L40" t="str">
            <v>0103424069</v>
          </cell>
          <cell r="M40" t="str">
            <v>260514A33A</v>
          </cell>
          <cell r="N40">
            <v>494</v>
          </cell>
          <cell r="O40">
            <v>4</v>
          </cell>
          <cell r="P40">
            <v>0</v>
          </cell>
          <cell r="Q40" t="str">
            <v>China</v>
          </cell>
          <cell r="R40">
            <v>46164</v>
          </cell>
          <cell r="S40">
            <v>0</v>
          </cell>
          <cell r="T40">
            <v>46165</v>
          </cell>
          <cell r="U40">
            <v>46165</v>
          </cell>
          <cell r="V40" t="str">
            <v>M7</v>
          </cell>
          <cell r="W40" t="str">
            <v>F2</v>
          </cell>
          <cell r="Y40">
            <v>0</v>
          </cell>
          <cell r="Z40">
            <v>0</v>
          </cell>
          <cell r="AA40">
            <v>346.26666666666665</v>
          </cell>
          <cell r="AB40">
            <v>962.85</v>
          </cell>
          <cell r="AC40">
            <v>473.66666666666669</v>
          </cell>
          <cell r="AD40">
            <v>46191</v>
          </cell>
          <cell r="AE40" t="str">
            <v>B</v>
          </cell>
          <cell r="AF40" t="str">
            <v>3</v>
          </cell>
          <cell r="AH40">
            <v>3</v>
          </cell>
          <cell r="AI40">
            <v>3</v>
          </cell>
          <cell r="AJ40">
            <v>2</v>
          </cell>
          <cell r="AK40">
            <v>2</v>
          </cell>
        </row>
        <row r="41">
          <cell r="AH41" t="e">
            <v>#VALUE!</v>
          </cell>
          <cell r="AI41" t="e">
            <v>#VALUE!</v>
          </cell>
          <cell r="AJ41" t="e">
            <v>#VALUE!</v>
          </cell>
          <cell r="AK41" t="e">
            <v>#VALUE!</v>
          </cell>
        </row>
        <row r="42">
          <cell r="AH42" t="e">
            <v>#VALUE!</v>
          </cell>
          <cell r="AI42" t="e">
            <v>#VALUE!</v>
          </cell>
          <cell r="AJ42" t="e">
            <v>#VALUE!</v>
          </cell>
          <cell r="AK42" t="e">
            <v>#VALUE!</v>
          </cell>
        </row>
        <row r="43">
          <cell r="AH43" t="e">
            <v>#VALUE!</v>
          </cell>
          <cell r="AI43" t="e">
            <v>#VALUE!</v>
          </cell>
          <cell r="AJ43" t="e">
            <v>#VALUE!</v>
          </cell>
          <cell r="AK43" t="e">
            <v>#VALUE!</v>
          </cell>
        </row>
        <row r="44">
          <cell r="AH44" t="e">
            <v>#VALUE!</v>
          </cell>
          <cell r="AI44" t="e">
            <v>#VALUE!</v>
          </cell>
          <cell r="AJ44" t="e">
            <v>#VALUE!</v>
          </cell>
          <cell r="AK44" t="e">
            <v>#VALUE!</v>
          </cell>
        </row>
        <row r="45">
          <cell r="AH45" t="e">
            <v>#VALUE!</v>
          </cell>
          <cell r="AI45" t="e">
            <v>#VALUE!</v>
          </cell>
          <cell r="AJ45" t="e">
            <v>#VALUE!</v>
          </cell>
          <cell r="AK45" t="e">
            <v>#VALUE!</v>
          </cell>
        </row>
        <row r="46">
          <cell r="AH46" t="e">
            <v>#VALUE!</v>
          </cell>
          <cell r="AI46" t="e">
            <v>#VALUE!</v>
          </cell>
          <cell r="AJ46" t="e">
            <v>#VALUE!</v>
          </cell>
          <cell r="AK46" t="e">
            <v>#VALUE!</v>
          </cell>
        </row>
        <row r="47">
          <cell r="AH47" t="e">
            <v>#VALUE!</v>
          </cell>
          <cell r="AI47" t="e">
            <v>#VALUE!</v>
          </cell>
          <cell r="AJ47" t="e">
            <v>#VALUE!</v>
          </cell>
          <cell r="AK47" t="e">
            <v>#VALUE!</v>
          </cell>
        </row>
        <row r="48">
          <cell r="AH48" t="e">
            <v>#VALUE!</v>
          </cell>
          <cell r="AI48" t="e">
            <v>#VALUE!</v>
          </cell>
          <cell r="AJ48" t="e">
            <v>#VALUE!</v>
          </cell>
          <cell r="AK48" t="e">
            <v>#VALUE!</v>
          </cell>
        </row>
        <row r="49">
          <cell r="AH49" t="e">
            <v>#VALUE!</v>
          </cell>
          <cell r="AI49" t="e">
            <v>#VALUE!</v>
          </cell>
          <cell r="AJ49" t="e">
            <v>#VALUE!</v>
          </cell>
          <cell r="AK49" t="e">
            <v>#VALUE!</v>
          </cell>
        </row>
        <row r="50">
          <cell r="AH50" t="e">
            <v>#VALUE!</v>
          </cell>
          <cell r="AI50" t="e">
            <v>#VALUE!</v>
          </cell>
          <cell r="AJ50" t="e">
            <v>#VALUE!</v>
          </cell>
          <cell r="AK50" t="e">
            <v>#VALUE!</v>
          </cell>
        </row>
        <row r="51">
          <cell r="AH51" t="e">
            <v>#VALUE!</v>
          </cell>
          <cell r="AI51" t="e">
            <v>#VALUE!</v>
          </cell>
          <cell r="AJ51" t="e">
            <v>#VALUE!</v>
          </cell>
          <cell r="AK51" t="e">
            <v>#VALUE!</v>
          </cell>
        </row>
        <row r="52">
          <cell r="AH52" t="e">
            <v>#VALUE!</v>
          </cell>
          <cell r="AI52" t="e">
            <v>#VALUE!</v>
          </cell>
          <cell r="AJ52" t="e">
            <v>#VALUE!</v>
          </cell>
          <cell r="AK52" t="e">
            <v>#VALUE!</v>
          </cell>
        </row>
        <row r="53">
          <cell r="AH53" t="e">
            <v>#VALUE!</v>
          </cell>
          <cell r="AI53" t="e">
            <v>#VALUE!</v>
          </cell>
          <cell r="AJ53" t="e">
            <v>#VALUE!</v>
          </cell>
          <cell r="AK53" t="e">
            <v>#VALUE!</v>
          </cell>
        </row>
        <row r="54">
          <cell r="AH54" t="e">
            <v>#VALUE!</v>
          </cell>
          <cell r="AI54" t="e">
            <v>#VALUE!</v>
          </cell>
          <cell r="AJ54" t="e">
            <v>#VALUE!</v>
          </cell>
          <cell r="AK54" t="e">
            <v>#VALUE!</v>
          </cell>
        </row>
        <row r="55">
          <cell r="AH55" t="e">
            <v>#VALUE!</v>
          </cell>
          <cell r="AI55" t="e">
            <v>#VALUE!</v>
          </cell>
          <cell r="AJ55" t="e">
            <v>#VALUE!</v>
          </cell>
          <cell r="AK55" t="e">
            <v>#VALUE!</v>
          </cell>
        </row>
        <row r="56">
          <cell r="AH56" t="e">
            <v>#VALUE!</v>
          </cell>
          <cell r="AI56" t="e">
            <v>#VALUE!</v>
          </cell>
          <cell r="AJ56" t="e">
            <v>#VALUE!</v>
          </cell>
          <cell r="AK56" t="e">
            <v>#VALUE!</v>
          </cell>
        </row>
        <row r="57">
          <cell r="AH57" t="e">
            <v>#VALUE!</v>
          </cell>
          <cell r="AI57" t="e">
            <v>#VALUE!</v>
          </cell>
          <cell r="AJ57" t="e">
            <v>#VALUE!</v>
          </cell>
          <cell r="AK57" t="e">
            <v>#VALUE!</v>
          </cell>
        </row>
        <row r="58">
          <cell r="AH58" t="e">
            <v>#VALUE!</v>
          </cell>
          <cell r="AI58" t="e">
            <v>#VALUE!</v>
          </cell>
          <cell r="AJ58" t="e">
            <v>#VALUE!</v>
          </cell>
          <cell r="AK58" t="e">
            <v>#VALUE!</v>
          </cell>
        </row>
        <row r="59">
          <cell r="AH59" t="e">
            <v>#VALUE!</v>
          </cell>
          <cell r="AI59" t="e">
            <v>#VALUE!</v>
          </cell>
          <cell r="AJ59" t="e">
            <v>#VALUE!</v>
          </cell>
          <cell r="AK59" t="e">
            <v>#VALUE!</v>
          </cell>
        </row>
        <row r="60">
          <cell r="AH60" t="e">
            <v>#VALUE!</v>
          </cell>
          <cell r="AI60" t="e">
            <v>#VALUE!</v>
          </cell>
          <cell r="AJ60" t="e">
            <v>#VALUE!</v>
          </cell>
          <cell r="AK60" t="e">
            <v>#VALUE!</v>
          </cell>
        </row>
        <row r="61">
          <cell r="AH61" t="e">
            <v>#VALUE!</v>
          </cell>
          <cell r="AI61" t="e">
            <v>#VALUE!</v>
          </cell>
          <cell r="AJ61" t="e">
            <v>#VALUE!</v>
          </cell>
          <cell r="AK61" t="e">
            <v>#VALUE!</v>
          </cell>
        </row>
        <row r="62">
          <cell r="AH62" t="e">
            <v>#VALUE!</v>
          </cell>
          <cell r="AI62" t="e">
            <v>#VALUE!</v>
          </cell>
          <cell r="AJ62" t="e">
            <v>#VALUE!</v>
          </cell>
          <cell r="AK62" t="e">
            <v>#VALUE!</v>
          </cell>
        </row>
        <row r="63">
          <cell r="AH63" t="e">
            <v>#VALUE!</v>
          </cell>
          <cell r="AI63" t="e">
            <v>#VALUE!</v>
          </cell>
          <cell r="AJ63" t="e">
            <v>#VALUE!</v>
          </cell>
          <cell r="AK63" t="e">
            <v>#VALUE!</v>
          </cell>
        </row>
        <row r="64">
          <cell r="AH64" t="e">
            <v>#VALUE!</v>
          </cell>
          <cell r="AI64" t="e">
            <v>#VALUE!</v>
          </cell>
          <cell r="AJ64" t="e">
            <v>#VALUE!</v>
          </cell>
          <cell r="AK64" t="e">
            <v>#VALUE!</v>
          </cell>
        </row>
        <row r="65">
          <cell r="AH65" t="e">
            <v>#VALUE!</v>
          </cell>
          <cell r="AI65" t="e">
            <v>#VALUE!</v>
          </cell>
          <cell r="AJ65" t="e">
            <v>#VALUE!</v>
          </cell>
          <cell r="AK65" t="e">
            <v>#VALUE!</v>
          </cell>
        </row>
        <row r="66">
          <cell r="AH66" t="e">
            <v>#VALUE!</v>
          </cell>
          <cell r="AI66" t="e">
            <v>#VALUE!</v>
          </cell>
          <cell r="AJ66" t="e">
            <v>#VALUE!</v>
          </cell>
          <cell r="AK66" t="e">
            <v>#VALUE!</v>
          </cell>
        </row>
        <row r="67">
          <cell r="AH67" t="e">
            <v>#VALUE!</v>
          </cell>
          <cell r="AI67" t="e">
            <v>#VALUE!</v>
          </cell>
          <cell r="AJ67" t="e">
            <v>#VALUE!</v>
          </cell>
          <cell r="AK67" t="e">
            <v>#VALUE!</v>
          </cell>
        </row>
        <row r="68">
          <cell r="AH68" t="e">
            <v>#VALUE!</v>
          </cell>
          <cell r="AI68" t="e">
            <v>#VALUE!</v>
          </cell>
          <cell r="AJ68" t="e">
            <v>#VALUE!</v>
          </cell>
          <cell r="AK68" t="e">
            <v>#VALUE!</v>
          </cell>
        </row>
        <row r="69">
          <cell r="AH69" t="e">
            <v>#VALUE!</v>
          </cell>
          <cell r="AI69" t="e">
            <v>#VALUE!</v>
          </cell>
          <cell r="AJ69" t="e">
            <v>#VALUE!</v>
          </cell>
          <cell r="AK69" t="e">
            <v>#VALUE!</v>
          </cell>
        </row>
        <row r="70">
          <cell r="AH70" t="e">
            <v>#VALUE!</v>
          </cell>
          <cell r="AI70" t="e">
            <v>#VALUE!</v>
          </cell>
          <cell r="AJ70" t="e">
            <v>#VALUE!</v>
          </cell>
          <cell r="AK70" t="e">
            <v>#VALUE!</v>
          </cell>
        </row>
        <row r="71">
          <cell r="AH71" t="e">
            <v>#VALUE!</v>
          </cell>
          <cell r="AI71" t="e">
            <v>#VALUE!</v>
          </cell>
          <cell r="AJ71" t="e">
            <v>#VALUE!</v>
          </cell>
          <cell r="AK71" t="e">
            <v>#VALUE!</v>
          </cell>
        </row>
        <row r="72">
          <cell r="AH72" t="e">
            <v>#VALUE!</v>
          </cell>
          <cell r="AI72" t="e">
            <v>#VALUE!</v>
          </cell>
          <cell r="AJ72" t="e">
            <v>#VALUE!</v>
          </cell>
          <cell r="AK72" t="e">
            <v>#VALUE!</v>
          </cell>
        </row>
        <row r="73">
          <cell r="AH73" t="e">
            <v>#VALUE!</v>
          </cell>
          <cell r="AI73" t="e">
            <v>#VALUE!</v>
          </cell>
          <cell r="AJ73" t="e">
            <v>#VALUE!</v>
          </cell>
          <cell r="AK73" t="e">
            <v>#VALUE!</v>
          </cell>
        </row>
        <row r="74">
          <cell r="AH74" t="e">
            <v>#VALUE!</v>
          </cell>
          <cell r="AI74" t="e">
            <v>#VALUE!</v>
          </cell>
          <cell r="AJ74" t="e">
            <v>#VALUE!</v>
          </cell>
          <cell r="AK74" t="e">
            <v>#VALUE!</v>
          </cell>
        </row>
        <row r="75">
          <cell r="AH75" t="e">
            <v>#VALUE!</v>
          </cell>
          <cell r="AI75" t="e">
            <v>#VALUE!</v>
          </cell>
          <cell r="AJ75" t="e">
            <v>#VALUE!</v>
          </cell>
          <cell r="AK75" t="e">
            <v>#VALUE!</v>
          </cell>
        </row>
        <row r="76">
          <cell r="AH76" t="e">
            <v>#VALUE!</v>
          </cell>
          <cell r="AI76" t="e">
            <v>#VALUE!</v>
          </cell>
          <cell r="AJ76" t="e">
            <v>#VALUE!</v>
          </cell>
          <cell r="AK76" t="e">
            <v>#VALUE!</v>
          </cell>
        </row>
        <row r="77">
          <cell r="AH77" t="e">
            <v>#VALUE!</v>
          </cell>
          <cell r="AI77" t="e">
            <v>#VALUE!</v>
          </cell>
          <cell r="AJ77" t="e">
            <v>#VALUE!</v>
          </cell>
          <cell r="AK77" t="e">
            <v>#VALUE!</v>
          </cell>
        </row>
        <row r="78">
          <cell r="AH78" t="e">
            <v>#VALUE!</v>
          </cell>
          <cell r="AI78" t="e">
            <v>#VALUE!</v>
          </cell>
          <cell r="AJ78" t="e">
            <v>#VALUE!</v>
          </cell>
          <cell r="AK78" t="e">
            <v>#VALUE!</v>
          </cell>
        </row>
        <row r="79">
          <cell r="AH79" t="e">
            <v>#VALUE!</v>
          </cell>
          <cell r="AI79" t="e">
            <v>#VALUE!</v>
          </cell>
          <cell r="AJ79" t="e">
            <v>#VALUE!</v>
          </cell>
          <cell r="AK79" t="e">
            <v>#VALUE!</v>
          </cell>
        </row>
        <row r="80">
          <cell r="AH80" t="e">
            <v>#VALUE!</v>
          </cell>
          <cell r="AI80" t="e">
            <v>#VALUE!</v>
          </cell>
          <cell r="AJ80" t="e">
            <v>#VALUE!</v>
          </cell>
          <cell r="AK80" t="e">
            <v>#VALUE!</v>
          </cell>
        </row>
        <row r="81">
          <cell r="AH81" t="e">
            <v>#VALUE!</v>
          </cell>
          <cell r="AI81" t="e">
            <v>#VALUE!</v>
          </cell>
          <cell r="AJ81" t="e">
            <v>#VALUE!</v>
          </cell>
          <cell r="AK81" t="e">
            <v>#VALUE!</v>
          </cell>
        </row>
        <row r="82">
          <cell r="AH82" t="e">
            <v>#VALUE!</v>
          </cell>
          <cell r="AI82" t="e">
            <v>#VALUE!</v>
          </cell>
          <cell r="AJ82" t="e">
            <v>#VALUE!</v>
          </cell>
          <cell r="AK82" t="e">
            <v>#VALUE!</v>
          </cell>
        </row>
        <row r="83">
          <cell r="AH83" t="e">
            <v>#VALUE!</v>
          </cell>
          <cell r="AI83" t="e">
            <v>#VALUE!</v>
          </cell>
          <cell r="AJ83" t="e">
            <v>#VALUE!</v>
          </cell>
          <cell r="AK83" t="e">
            <v>#VALUE!</v>
          </cell>
        </row>
        <row r="84">
          <cell r="AH84" t="e">
            <v>#VALUE!</v>
          </cell>
          <cell r="AI84" t="e">
            <v>#VALUE!</v>
          </cell>
          <cell r="AJ84" t="e">
            <v>#VALUE!</v>
          </cell>
          <cell r="AK84" t="e">
            <v>#VALUE!</v>
          </cell>
        </row>
        <row r="85">
          <cell r="AH85" t="e">
            <v>#VALUE!</v>
          </cell>
          <cell r="AI85" t="e">
            <v>#VALUE!</v>
          </cell>
          <cell r="AJ85" t="e">
            <v>#VALUE!</v>
          </cell>
          <cell r="AK85" t="e">
            <v>#VALUE!</v>
          </cell>
        </row>
        <row r="86">
          <cell r="AH86" t="e">
            <v>#VALUE!</v>
          </cell>
          <cell r="AI86" t="e">
            <v>#VALUE!</v>
          </cell>
          <cell r="AJ86" t="e">
            <v>#VALUE!</v>
          </cell>
          <cell r="AK86" t="e">
            <v>#VALUE!</v>
          </cell>
        </row>
        <row r="87">
          <cell r="AH87" t="e">
            <v>#VALUE!</v>
          </cell>
          <cell r="AI87" t="e">
            <v>#VALUE!</v>
          </cell>
          <cell r="AJ87" t="e">
            <v>#VALUE!</v>
          </cell>
          <cell r="AK87" t="e">
            <v>#VALUE!</v>
          </cell>
        </row>
        <row r="88">
          <cell r="AH88" t="e">
            <v>#VALUE!</v>
          </cell>
          <cell r="AI88" t="e">
            <v>#VALUE!</v>
          </cell>
          <cell r="AJ88" t="e">
            <v>#VALUE!</v>
          </cell>
          <cell r="AK88" t="e">
            <v>#VALUE!</v>
          </cell>
        </row>
        <row r="89">
          <cell r="AH89" t="e">
            <v>#VALUE!</v>
          </cell>
          <cell r="AI89" t="e">
            <v>#VALUE!</v>
          </cell>
          <cell r="AJ89" t="e">
            <v>#VALUE!</v>
          </cell>
          <cell r="AK89" t="e">
            <v>#VALUE!</v>
          </cell>
        </row>
        <row r="90">
          <cell r="AH90" t="e">
            <v>#VALUE!</v>
          </cell>
          <cell r="AI90" t="e">
            <v>#VALUE!</v>
          </cell>
          <cell r="AJ90" t="e">
            <v>#VALUE!</v>
          </cell>
          <cell r="AK90" t="e">
            <v>#VALUE!</v>
          </cell>
        </row>
        <row r="91">
          <cell r="AH91" t="e">
            <v>#VALUE!</v>
          </cell>
          <cell r="AI91" t="e">
            <v>#VALUE!</v>
          </cell>
          <cell r="AJ91" t="e">
            <v>#VALUE!</v>
          </cell>
          <cell r="AK91" t="e">
            <v>#VALUE!</v>
          </cell>
        </row>
        <row r="92">
          <cell r="AH92" t="e">
            <v>#VALUE!</v>
          </cell>
          <cell r="AI92" t="e">
            <v>#VALUE!</v>
          </cell>
          <cell r="AJ92" t="e">
            <v>#VALUE!</v>
          </cell>
          <cell r="AK92" t="e">
            <v>#VALUE!</v>
          </cell>
        </row>
        <row r="93">
          <cell r="AH93" t="e">
            <v>#VALUE!</v>
          </cell>
          <cell r="AI93" t="e">
            <v>#VALUE!</v>
          </cell>
          <cell r="AJ93" t="e">
            <v>#VALUE!</v>
          </cell>
          <cell r="AK93" t="e">
            <v>#VALUE!</v>
          </cell>
        </row>
        <row r="94">
          <cell r="AH94" t="e">
            <v>#VALUE!</v>
          </cell>
          <cell r="AI94" t="e">
            <v>#VALUE!</v>
          </cell>
          <cell r="AJ94" t="e">
            <v>#VALUE!</v>
          </cell>
          <cell r="AK94" t="e">
            <v>#VALUE!</v>
          </cell>
        </row>
        <row r="95">
          <cell r="AH95" t="e">
            <v>#VALUE!</v>
          </cell>
          <cell r="AI95" t="e">
            <v>#VALUE!</v>
          </cell>
          <cell r="AJ95" t="e">
            <v>#VALUE!</v>
          </cell>
          <cell r="AK95" t="e">
            <v>#VALUE!</v>
          </cell>
        </row>
        <row r="96">
          <cell r="AH96" t="e">
            <v>#VALUE!</v>
          </cell>
          <cell r="AI96" t="e">
            <v>#VALUE!</v>
          </cell>
          <cell r="AJ96" t="e">
            <v>#VALUE!</v>
          </cell>
          <cell r="AK96" t="e">
            <v>#VALUE!</v>
          </cell>
        </row>
        <row r="97">
          <cell r="AH97" t="e">
            <v>#VALUE!</v>
          </cell>
          <cell r="AI97" t="e">
            <v>#VALUE!</v>
          </cell>
          <cell r="AJ97" t="e">
            <v>#VALUE!</v>
          </cell>
          <cell r="AK97" t="e">
            <v>#VALUE!</v>
          </cell>
        </row>
        <row r="98">
          <cell r="AH98" t="e">
            <v>#VALUE!</v>
          </cell>
          <cell r="AI98" t="e">
            <v>#VALUE!</v>
          </cell>
          <cell r="AJ98" t="e">
            <v>#VALUE!</v>
          </cell>
          <cell r="AK98" t="e">
            <v>#VALUE!</v>
          </cell>
        </row>
        <row r="99">
          <cell r="AH99" t="e">
            <v>#VALUE!</v>
          </cell>
          <cell r="AI99" t="e">
            <v>#VALUE!</v>
          </cell>
          <cell r="AJ99" t="e">
            <v>#VALUE!</v>
          </cell>
          <cell r="AK99" t="e">
            <v>#VALUE!</v>
          </cell>
        </row>
        <row r="100">
          <cell r="AH100" t="e">
            <v>#VALUE!</v>
          </cell>
          <cell r="AI100" t="e">
            <v>#VALUE!</v>
          </cell>
          <cell r="AJ100" t="e">
            <v>#VALUE!</v>
          </cell>
          <cell r="AK100" t="e">
            <v>#VALUE!</v>
          </cell>
        </row>
        <row r="101">
          <cell r="AH101" t="e">
            <v>#VALUE!</v>
          </cell>
          <cell r="AI101" t="e">
            <v>#VALUE!</v>
          </cell>
          <cell r="AJ101" t="e">
            <v>#VALUE!</v>
          </cell>
          <cell r="AK101" t="e">
            <v>#VALUE!</v>
          </cell>
        </row>
        <row r="102">
          <cell r="AH102" t="e">
            <v>#VALUE!</v>
          </cell>
          <cell r="AI102" t="e">
            <v>#VALUE!</v>
          </cell>
          <cell r="AJ102" t="e">
            <v>#VALUE!</v>
          </cell>
          <cell r="AK102" t="e">
            <v>#VALUE!</v>
          </cell>
        </row>
        <row r="103">
          <cell r="AH103" t="e">
            <v>#VALUE!</v>
          </cell>
          <cell r="AI103" t="e">
            <v>#VALUE!</v>
          </cell>
          <cell r="AJ103" t="e">
            <v>#VALUE!</v>
          </cell>
          <cell r="AK103" t="e">
            <v>#VALUE!</v>
          </cell>
        </row>
        <row r="104">
          <cell r="AH104" t="e">
            <v>#VALUE!</v>
          </cell>
          <cell r="AI104" t="e">
            <v>#VALUE!</v>
          </cell>
          <cell r="AJ104" t="e">
            <v>#VALUE!</v>
          </cell>
          <cell r="AK104" t="e">
            <v>#VALUE!</v>
          </cell>
        </row>
        <row r="105">
          <cell r="AH105" t="e">
            <v>#VALUE!</v>
          </cell>
          <cell r="AI105" t="e">
            <v>#VALUE!</v>
          </cell>
          <cell r="AJ105" t="e">
            <v>#VALUE!</v>
          </cell>
          <cell r="AK105" t="e">
            <v>#VALUE!</v>
          </cell>
        </row>
        <row r="106">
          <cell r="AH106" t="e">
            <v>#VALUE!</v>
          </cell>
          <cell r="AI106" t="e">
            <v>#VALUE!</v>
          </cell>
          <cell r="AJ106" t="e">
            <v>#VALUE!</v>
          </cell>
          <cell r="AK106" t="e">
            <v>#VALUE!</v>
          </cell>
        </row>
        <row r="107">
          <cell r="AH107" t="e">
            <v>#VALUE!</v>
          </cell>
          <cell r="AI107" t="e">
            <v>#VALUE!</v>
          </cell>
          <cell r="AJ107" t="e">
            <v>#VALUE!</v>
          </cell>
          <cell r="AK107" t="e">
            <v>#VALUE!</v>
          </cell>
        </row>
        <row r="108">
          <cell r="AH108" t="e">
            <v>#VALUE!</v>
          </cell>
          <cell r="AI108" t="e">
            <v>#VALUE!</v>
          </cell>
          <cell r="AJ108" t="e">
            <v>#VALUE!</v>
          </cell>
          <cell r="AK108" t="e">
            <v>#VALUE!</v>
          </cell>
        </row>
        <row r="109">
          <cell r="AH109" t="e">
            <v>#VALUE!</v>
          </cell>
          <cell r="AI109" t="e">
            <v>#VALUE!</v>
          </cell>
          <cell r="AJ109" t="e">
            <v>#VALUE!</v>
          </cell>
          <cell r="AK109" t="e">
            <v>#VALUE!</v>
          </cell>
        </row>
        <row r="110">
          <cell r="AH110" t="e">
            <v>#VALUE!</v>
          </cell>
          <cell r="AI110" t="e">
            <v>#VALUE!</v>
          </cell>
          <cell r="AJ110" t="e">
            <v>#VALUE!</v>
          </cell>
          <cell r="AK110" t="e">
            <v>#VALUE!</v>
          </cell>
        </row>
        <row r="111">
          <cell r="AH111" t="e">
            <v>#VALUE!</v>
          </cell>
          <cell r="AI111" t="e">
            <v>#VALUE!</v>
          </cell>
          <cell r="AJ111" t="e">
            <v>#VALUE!</v>
          </cell>
          <cell r="AK111" t="e">
            <v>#VALUE!</v>
          </cell>
        </row>
        <row r="112">
          <cell r="AH112" t="e">
            <v>#VALUE!</v>
          </cell>
          <cell r="AI112" t="e">
            <v>#VALUE!</v>
          </cell>
          <cell r="AJ112" t="e">
            <v>#VALUE!</v>
          </cell>
          <cell r="AK112" t="e">
            <v>#VALUE!</v>
          </cell>
        </row>
        <row r="113">
          <cell r="AH113" t="e">
            <v>#VALUE!</v>
          </cell>
          <cell r="AI113" t="e">
            <v>#VALUE!</v>
          </cell>
          <cell r="AJ113" t="e">
            <v>#VALUE!</v>
          </cell>
          <cell r="AK113" t="e">
            <v>#VALUE!</v>
          </cell>
        </row>
        <row r="114">
          <cell r="AH114" t="e">
            <v>#VALUE!</v>
          </cell>
          <cell r="AI114" t="e">
            <v>#VALUE!</v>
          </cell>
          <cell r="AJ114" t="e">
            <v>#VALUE!</v>
          </cell>
          <cell r="AK114" t="e">
            <v>#VALUE!</v>
          </cell>
        </row>
        <row r="115">
          <cell r="AH115" t="e">
            <v>#VALUE!</v>
          </cell>
          <cell r="AI115" t="e">
            <v>#VALUE!</v>
          </cell>
          <cell r="AJ115" t="e">
            <v>#VALUE!</v>
          </cell>
          <cell r="AK115" t="e">
            <v>#VALUE!</v>
          </cell>
        </row>
        <row r="116">
          <cell r="AH116" t="e">
            <v>#VALUE!</v>
          </cell>
          <cell r="AI116" t="e">
            <v>#VALUE!</v>
          </cell>
          <cell r="AJ116" t="e">
            <v>#VALUE!</v>
          </cell>
          <cell r="AK116" t="e">
            <v>#VALUE!</v>
          </cell>
        </row>
        <row r="117">
          <cell r="AH117" t="e">
            <v>#VALUE!</v>
          </cell>
          <cell r="AI117" t="e">
            <v>#VALUE!</v>
          </cell>
          <cell r="AJ117" t="e">
            <v>#VALUE!</v>
          </cell>
          <cell r="AK117" t="e">
            <v>#VALUE!</v>
          </cell>
        </row>
        <row r="118">
          <cell r="AH118" t="e">
            <v>#VALUE!</v>
          </cell>
          <cell r="AI118" t="e">
            <v>#VALUE!</v>
          </cell>
          <cell r="AJ118" t="e">
            <v>#VALUE!</v>
          </cell>
          <cell r="AK118" t="e">
            <v>#VALUE!</v>
          </cell>
        </row>
        <row r="119">
          <cell r="AH119" t="e">
            <v>#VALUE!</v>
          </cell>
          <cell r="AI119" t="e">
            <v>#VALUE!</v>
          </cell>
          <cell r="AJ119" t="e">
            <v>#VALUE!</v>
          </cell>
          <cell r="AK119" t="e">
            <v>#VALUE!</v>
          </cell>
        </row>
        <row r="120">
          <cell r="AH120" t="e">
            <v>#VALUE!</v>
          </cell>
          <cell r="AI120" t="e">
            <v>#VALUE!</v>
          </cell>
          <cell r="AJ120" t="e">
            <v>#VALUE!</v>
          </cell>
          <cell r="AK120" t="e">
            <v>#VALUE!</v>
          </cell>
        </row>
        <row r="121">
          <cell r="AH121" t="e">
            <v>#VALUE!</v>
          </cell>
          <cell r="AI121" t="e">
            <v>#VALUE!</v>
          </cell>
          <cell r="AJ121" t="e">
            <v>#VALUE!</v>
          </cell>
          <cell r="AK121" t="e">
            <v>#VALUE!</v>
          </cell>
        </row>
        <row r="122">
          <cell r="AH122" t="e">
            <v>#VALUE!</v>
          </cell>
          <cell r="AI122" t="e">
            <v>#VALUE!</v>
          </cell>
          <cell r="AJ122" t="e">
            <v>#VALUE!</v>
          </cell>
          <cell r="AK122" t="e">
            <v>#VALUE!</v>
          </cell>
        </row>
        <row r="123">
          <cell r="AH123" t="e">
            <v>#VALUE!</v>
          </cell>
          <cell r="AI123" t="e">
            <v>#VALUE!</v>
          </cell>
          <cell r="AJ123" t="e">
            <v>#VALUE!</v>
          </cell>
          <cell r="AK123" t="e">
            <v>#VALUE!</v>
          </cell>
        </row>
        <row r="124">
          <cell r="AH124" t="e">
            <v>#VALUE!</v>
          </cell>
          <cell r="AI124" t="e">
            <v>#VALUE!</v>
          </cell>
          <cell r="AJ124" t="e">
            <v>#VALUE!</v>
          </cell>
          <cell r="AK124" t="e">
            <v>#VALUE!</v>
          </cell>
        </row>
        <row r="125">
          <cell r="AH125" t="e">
            <v>#VALUE!</v>
          </cell>
          <cell r="AI125" t="e">
            <v>#VALUE!</v>
          </cell>
          <cell r="AJ125" t="e">
            <v>#VALUE!</v>
          </cell>
          <cell r="AK125" t="e">
            <v>#VALUE!</v>
          </cell>
        </row>
        <row r="126">
          <cell r="AH126" t="e">
            <v>#VALUE!</v>
          </cell>
          <cell r="AI126" t="e">
            <v>#VALUE!</v>
          </cell>
          <cell r="AJ126" t="e">
            <v>#VALUE!</v>
          </cell>
          <cell r="AK126" t="e">
            <v>#VALUE!</v>
          </cell>
        </row>
        <row r="127">
          <cell r="AH127" t="e">
            <v>#VALUE!</v>
          </cell>
          <cell r="AI127" t="e">
            <v>#VALUE!</v>
          </cell>
          <cell r="AJ127" t="e">
            <v>#VALUE!</v>
          </cell>
          <cell r="AK127" t="e">
            <v>#VALUE!</v>
          </cell>
        </row>
        <row r="128">
          <cell r="AH128" t="e">
            <v>#VALUE!</v>
          </cell>
          <cell r="AI128" t="e">
            <v>#VALUE!</v>
          </cell>
          <cell r="AJ128" t="e">
            <v>#VALUE!</v>
          </cell>
          <cell r="AK128" t="e">
            <v>#VALUE!</v>
          </cell>
        </row>
        <row r="129">
          <cell r="AH129" t="e">
            <v>#VALUE!</v>
          </cell>
          <cell r="AI129" t="e">
            <v>#VALUE!</v>
          </cell>
          <cell r="AJ129" t="e">
            <v>#VALUE!</v>
          </cell>
          <cell r="AK129" t="e">
            <v>#VALUE!</v>
          </cell>
        </row>
        <row r="130">
          <cell r="AH130" t="e">
            <v>#VALUE!</v>
          </cell>
          <cell r="AI130" t="e">
            <v>#VALUE!</v>
          </cell>
          <cell r="AJ130" t="e">
            <v>#VALUE!</v>
          </cell>
          <cell r="AK130" t="e">
            <v>#VALUE!</v>
          </cell>
        </row>
        <row r="131">
          <cell r="AH131" t="e">
            <v>#VALUE!</v>
          </cell>
          <cell r="AI131" t="e">
            <v>#VALUE!</v>
          </cell>
          <cell r="AJ131" t="e">
            <v>#VALUE!</v>
          </cell>
          <cell r="AK131" t="e">
            <v>#VALUE!</v>
          </cell>
        </row>
        <row r="132">
          <cell r="AH132" t="e">
            <v>#VALUE!</v>
          </cell>
          <cell r="AI132" t="e">
            <v>#VALUE!</v>
          </cell>
          <cell r="AJ132" t="e">
            <v>#VALUE!</v>
          </cell>
          <cell r="AK132" t="e">
            <v>#VALUE!</v>
          </cell>
        </row>
        <row r="133">
          <cell r="AH133" t="e">
            <v>#VALUE!</v>
          </cell>
          <cell r="AI133" t="e">
            <v>#VALUE!</v>
          </cell>
          <cell r="AJ133" t="e">
            <v>#VALUE!</v>
          </cell>
          <cell r="AK133" t="e">
            <v>#VALUE!</v>
          </cell>
        </row>
        <row r="134">
          <cell r="AH134" t="e">
            <v>#VALUE!</v>
          </cell>
          <cell r="AI134" t="e">
            <v>#VALUE!</v>
          </cell>
          <cell r="AJ134" t="e">
            <v>#VALUE!</v>
          </cell>
          <cell r="AK134" t="e">
            <v>#VALUE!</v>
          </cell>
        </row>
        <row r="135">
          <cell r="AH135" t="e">
            <v>#VALUE!</v>
          </cell>
          <cell r="AI135" t="e">
            <v>#VALUE!</v>
          </cell>
          <cell r="AJ135" t="e">
            <v>#VALUE!</v>
          </cell>
          <cell r="AK135" t="e">
            <v>#VALUE!</v>
          </cell>
        </row>
        <row r="136">
          <cell r="AH136" t="e">
            <v>#VALUE!</v>
          </cell>
          <cell r="AI136" t="e">
            <v>#VALUE!</v>
          </cell>
          <cell r="AJ136" t="e">
            <v>#VALUE!</v>
          </cell>
          <cell r="AK136" t="e">
            <v>#VALUE!</v>
          </cell>
        </row>
        <row r="137">
          <cell r="AH137" t="e">
            <v>#VALUE!</v>
          </cell>
          <cell r="AI137" t="e">
            <v>#VALUE!</v>
          </cell>
          <cell r="AJ137" t="e">
            <v>#VALUE!</v>
          </cell>
          <cell r="AK137" t="e">
            <v>#VALUE!</v>
          </cell>
        </row>
        <row r="138">
          <cell r="AH138" t="e">
            <v>#VALUE!</v>
          </cell>
          <cell r="AI138" t="e">
            <v>#VALUE!</v>
          </cell>
          <cell r="AJ138" t="e">
            <v>#VALUE!</v>
          </cell>
          <cell r="AK138" t="e">
            <v>#VALUE!</v>
          </cell>
        </row>
        <row r="139">
          <cell r="AH139" t="e">
            <v>#VALUE!</v>
          </cell>
          <cell r="AI139" t="e">
            <v>#VALUE!</v>
          </cell>
          <cell r="AJ139" t="e">
            <v>#VALUE!</v>
          </cell>
          <cell r="AK139" t="e">
            <v>#VALUE!</v>
          </cell>
        </row>
        <row r="140">
          <cell r="AH140" t="e">
            <v>#VALUE!</v>
          </cell>
          <cell r="AI140" t="e">
            <v>#VALUE!</v>
          </cell>
          <cell r="AJ140" t="e">
            <v>#VALUE!</v>
          </cell>
          <cell r="AK140" t="e">
            <v>#VALUE!</v>
          </cell>
        </row>
        <row r="141">
          <cell r="AH141" t="e">
            <v>#VALUE!</v>
          </cell>
          <cell r="AI141" t="e">
            <v>#VALUE!</v>
          </cell>
          <cell r="AJ141" t="e">
            <v>#VALUE!</v>
          </cell>
          <cell r="AK141" t="e">
            <v>#VALUE!</v>
          </cell>
        </row>
        <row r="142">
          <cell r="AH142" t="e">
            <v>#VALUE!</v>
          </cell>
          <cell r="AI142" t="e">
            <v>#VALUE!</v>
          </cell>
          <cell r="AJ142" t="e">
            <v>#VALUE!</v>
          </cell>
          <cell r="AK142" t="e">
            <v>#VALUE!</v>
          </cell>
        </row>
        <row r="143">
          <cell r="AH143" t="e">
            <v>#VALUE!</v>
          </cell>
          <cell r="AI143" t="e">
            <v>#VALUE!</v>
          </cell>
          <cell r="AJ143" t="e">
            <v>#VALUE!</v>
          </cell>
          <cell r="AK143" t="e">
            <v>#VALUE!</v>
          </cell>
        </row>
        <row r="144">
          <cell r="AH144" t="e">
            <v>#VALUE!</v>
          </cell>
          <cell r="AI144" t="e">
            <v>#VALUE!</v>
          </cell>
          <cell r="AJ144" t="e">
            <v>#VALUE!</v>
          </cell>
          <cell r="AK144" t="e">
            <v>#VALUE!</v>
          </cell>
        </row>
        <row r="145">
          <cell r="AH145" t="e">
            <v>#VALUE!</v>
          </cell>
          <cell r="AI145" t="e">
            <v>#VALUE!</v>
          </cell>
          <cell r="AJ145" t="e">
            <v>#VALUE!</v>
          </cell>
          <cell r="AK145" t="e">
            <v>#VALUE!</v>
          </cell>
        </row>
        <row r="146">
          <cell r="AH146" t="e">
            <v>#VALUE!</v>
          </cell>
          <cell r="AI146" t="e">
            <v>#VALUE!</v>
          </cell>
          <cell r="AJ146" t="e">
            <v>#VALUE!</v>
          </cell>
          <cell r="AK146" t="e">
            <v>#VALUE!</v>
          </cell>
        </row>
        <row r="147">
          <cell r="AH147" t="e">
            <v>#VALUE!</v>
          </cell>
          <cell r="AI147" t="e">
            <v>#VALUE!</v>
          </cell>
          <cell r="AJ147" t="e">
            <v>#VALUE!</v>
          </cell>
          <cell r="AK147" t="e">
            <v>#VALUE!</v>
          </cell>
        </row>
        <row r="148">
          <cell r="AH148" t="e">
            <v>#VALUE!</v>
          </cell>
          <cell r="AI148" t="e">
            <v>#VALUE!</v>
          </cell>
          <cell r="AJ148" t="e">
            <v>#VALUE!</v>
          </cell>
          <cell r="AK148" t="e">
            <v>#VALUE!</v>
          </cell>
        </row>
        <row r="149">
          <cell r="AH149" t="e">
            <v>#VALUE!</v>
          </cell>
          <cell r="AI149" t="e">
            <v>#VALUE!</v>
          </cell>
          <cell r="AJ149" t="e">
            <v>#VALUE!</v>
          </cell>
          <cell r="AK149" t="e">
            <v>#VALUE!</v>
          </cell>
        </row>
        <row r="150">
          <cell r="AH150" t="e">
            <v>#VALUE!</v>
          </cell>
          <cell r="AI150" t="e">
            <v>#VALUE!</v>
          </cell>
          <cell r="AJ150" t="e">
            <v>#VALUE!</v>
          </cell>
          <cell r="AK150" t="e">
            <v>#VALUE!</v>
          </cell>
        </row>
        <row r="151">
          <cell r="AH151" t="e">
            <v>#VALUE!</v>
          </cell>
          <cell r="AI151" t="e">
            <v>#VALUE!</v>
          </cell>
          <cell r="AJ151" t="e">
            <v>#VALUE!</v>
          </cell>
          <cell r="AK151" t="e">
            <v>#VALUE!</v>
          </cell>
        </row>
        <row r="152">
          <cell r="AH152" t="e">
            <v>#VALUE!</v>
          </cell>
          <cell r="AI152" t="e">
            <v>#VALUE!</v>
          </cell>
          <cell r="AJ152" t="e">
            <v>#VALUE!</v>
          </cell>
          <cell r="AK152" t="e">
            <v>#VALUE!</v>
          </cell>
        </row>
        <row r="153">
          <cell r="AH153" t="e">
            <v>#VALUE!</v>
          </cell>
          <cell r="AI153" t="e">
            <v>#VALUE!</v>
          </cell>
          <cell r="AJ153" t="e">
            <v>#VALUE!</v>
          </cell>
          <cell r="AK153" t="e">
            <v>#VALUE!</v>
          </cell>
        </row>
        <row r="154">
          <cell r="AH154" t="e">
            <v>#VALUE!</v>
          </cell>
          <cell r="AI154" t="e">
            <v>#VALUE!</v>
          </cell>
          <cell r="AJ154" t="e">
            <v>#VALUE!</v>
          </cell>
          <cell r="AK154" t="e">
            <v>#VALUE!</v>
          </cell>
        </row>
        <row r="155">
          <cell r="AH155" t="e">
            <v>#VALUE!</v>
          </cell>
          <cell r="AI155" t="e">
            <v>#VALUE!</v>
          </cell>
          <cell r="AJ155" t="e">
            <v>#VALUE!</v>
          </cell>
          <cell r="AK155" t="e">
            <v>#VALUE!</v>
          </cell>
        </row>
        <row r="156">
          <cell r="AH156" t="e">
            <v>#VALUE!</v>
          </cell>
          <cell r="AI156" t="e">
            <v>#VALUE!</v>
          </cell>
          <cell r="AJ156" t="e">
            <v>#VALUE!</v>
          </cell>
          <cell r="AK156" t="e">
            <v>#VALUE!</v>
          </cell>
        </row>
        <row r="157">
          <cell r="AH157" t="e">
            <v>#VALUE!</v>
          </cell>
          <cell r="AI157" t="e">
            <v>#VALUE!</v>
          </cell>
          <cell r="AJ157" t="e">
            <v>#VALUE!</v>
          </cell>
          <cell r="AK157" t="e">
            <v>#VALUE!</v>
          </cell>
        </row>
        <row r="158">
          <cell r="AH158" t="e">
            <v>#VALUE!</v>
          </cell>
          <cell r="AI158" t="e">
            <v>#VALUE!</v>
          </cell>
          <cell r="AJ158" t="e">
            <v>#VALUE!</v>
          </cell>
          <cell r="AK158" t="e">
            <v>#VALUE!</v>
          </cell>
        </row>
        <row r="159">
          <cell r="AH159" t="e">
            <v>#VALUE!</v>
          </cell>
          <cell r="AI159" t="e">
            <v>#VALUE!</v>
          </cell>
          <cell r="AJ159" t="e">
            <v>#VALUE!</v>
          </cell>
          <cell r="AK159" t="e">
            <v>#VALUE!</v>
          </cell>
        </row>
        <row r="160">
          <cell r="AH160" t="e">
            <v>#VALUE!</v>
          </cell>
          <cell r="AI160" t="e">
            <v>#VALUE!</v>
          </cell>
          <cell r="AJ160" t="e">
            <v>#VALUE!</v>
          </cell>
          <cell r="AK160" t="e">
            <v>#VALUE!</v>
          </cell>
        </row>
        <row r="161">
          <cell r="AH161" t="e">
            <v>#VALUE!</v>
          </cell>
          <cell r="AI161" t="e">
            <v>#VALUE!</v>
          </cell>
          <cell r="AJ161" t="e">
            <v>#VALUE!</v>
          </cell>
          <cell r="AK161" t="e">
            <v>#VALUE!</v>
          </cell>
        </row>
        <row r="162">
          <cell r="AH162" t="e">
            <v>#VALUE!</v>
          </cell>
          <cell r="AI162" t="e">
            <v>#VALUE!</v>
          </cell>
          <cell r="AJ162" t="e">
            <v>#VALUE!</v>
          </cell>
          <cell r="AK162" t="e">
            <v>#VALUE!</v>
          </cell>
        </row>
        <row r="163">
          <cell r="AH163" t="e">
            <v>#VALUE!</v>
          </cell>
          <cell r="AI163" t="e">
            <v>#VALUE!</v>
          </cell>
          <cell r="AJ163" t="e">
            <v>#VALUE!</v>
          </cell>
          <cell r="AK163" t="e">
            <v>#VALUE!</v>
          </cell>
        </row>
        <row r="164">
          <cell r="AH164" t="e">
            <v>#VALUE!</v>
          </cell>
          <cell r="AI164" t="e">
            <v>#VALUE!</v>
          </cell>
          <cell r="AJ164" t="e">
            <v>#VALUE!</v>
          </cell>
          <cell r="AK164" t="e">
            <v>#VALUE!</v>
          </cell>
        </row>
        <row r="165">
          <cell r="AH165" t="e">
            <v>#VALUE!</v>
          </cell>
          <cell r="AI165" t="e">
            <v>#VALUE!</v>
          </cell>
          <cell r="AJ165" t="e">
            <v>#VALUE!</v>
          </cell>
          <cell r="AK165" t="e">
            <v>#VALUE!</v>
          </cell>
        </row>
        <row r="166">
          <cell r="AH166" t="e">
            <v>#VALUE!</v>
          </cell>
          <cell r="AI166" t="e">
            <v>#VALUE!</v>
          </cell>
          <cell r="AJ166" t="e">
            <v>#VALUE!</v>
          </cell>
          <cell r="AK166" t="e">
            <v>#VALUE!</v>
          </cell>
        </row>
        <row r="167">
          <cell r="AH167" t="e">
            <v>#VALUE!</v>
          </cell>
          <cell r="AI167" t="e">
            <v>#VALUE!</v>
          </cell>
          <cell r="AJ167" t="e">
            <v>#VALUE!</v>
          </cell>
          <cell r="AK167" t="e">
            <v>#VALUE!</v>
          </cell>
        </row>
        <row r="168">
          <cell r="AH168" t="e">
            <v>#VALUE!</v>
          </cell>
          <cell r="AI168" t="e">
            <v>#VALUE!</v>
          </cell>
          <cell r="AJ168" t="e">
            <v>#VALUE!</v>
          </cell>
          <cell r="AK168" t="e">
            <v>#VALUE!</v>
          </cell>
        </row>
        <row r="169">
          <cell r="AH169" t="e">
            <v>#VALUE!</v>
          </cell>
          <cell r="AI169" t="e">
            <v>#VALUE!</v>
          </cell>
          <cell r="AJ169" t="e">
            <v>#VALUE!</v>
          </cell>
          <cell r="AK169" t="e">
            <v>#VALUE!</v>
          </cell>
        </row>
        <row r="170">
          <cell r="AH170" t="e">
            <v>#VALUE!</v>
          </cell>
          <cell r="AI170" t="e">
            <v>#VALUE!</v>
          </cell>
          <cell r="AJ170" t="e">
            <v>#VALUE!</v>
          </cell>
          <cell r="AK170" t="e">
            <v>#VALUE!</v>
          </cell>
        </row>
        <row r="171">
          <cell r="AH171" t="e">
            <v>#VALUE!</v>
          </cell>
          <cell r="AI171" t="e">
            <v>#VALUE!</v>
          </cell>
          <cell r="AJ171" t="e">
            <v>#VALUE!</v>
          </cell>
          <cell r="AK171" t="e">
            <v>#VALUE!</v>
          </cell>
        </row>
        <row r="172">
          <cell r="AH172" t="e">
            <v>#VALUE!</v>
          </cell>
          <cell r="AI172" t="e">
            <v>#VALUE!</v>
          </cell>
          <cell r="AJ172" t="e">
            <v>#VALUE!</v>
          </cell>
          <cell r="AK172" t="e">
            <v>#VALUE!</v>
          </cell>
        </row>
        <row r="173">
          <cell r="AH173" t="e">
            <v>#VALUE!</v>
          </cell>
          <cell r="AI173" t="e">
            <v>#VALUE!</v>
          </cell>
          <cell r="AJ173" t="e">
            <v>#VALUE!</v>
          </cell>
          <cell r="AK173" t="e">
            <v>#VALUE!</v>
          </cell>
        </row>
        <row r="174">
          <cell r="AH174" t="e">
            <v>#VALUE!</v>
          </cell>
          <cell r="AI174" t="e">
            <v>#VALUE!</v>
          </cell>
          <cell r="AJ174" t="e">
            <v>#VALUE!</v>
          </cell>
          <cell r="AK174" t="e">
            <v>#VALUE!</v>
          </cell>
        </row>
        <row r="175">
          <cell r="AH175" t="e">
            <v>#VALUE!</v>
          </cell>
          <cell r="AI175" t="e">
            <v>#VALUE!</v>
          </cell>
          <cell r="AJ175" t="e">
            <v>#VALUE!</v>
          </cell>
          <cell r="AK175" t="e">
            <v>#VALUE!</v>
          </cell>
        </row>
        <row r="176">
          <cell r="AH176" t="e">
            <v>#VALUE!</v>
          </cell>
          <cell r="AI176" t="e">
            <v>#VALUE!</v>
          </cell>
          <cell r="AJ176" t="e">
            <v>#VALUE!</v>
          </cell>
          <cell r="AK176" t="e">
            <v>#VALUE!</v>
          </cell>
        </row>
        <row r="177">
          <cell r="AH177" t="e">
            <v>#VALUE!</v>
          </cell>
          <cell r="AI177" t="e">
            <v>#VALUE!</v>
          </cell>
          <cell r="AJ177" t="e">
            <v>#VALUE!</v>
          </cell>
          <cell r="AK177" t="e">
            <v>#VALUE!</v>
          </cell>
        </row>
        <row r="178">
          <cell r="AH178" t="e">
            <v>#VALUE!</v>
          </cell>
          <cell r="AI178" t="e">
            <v>#VALUE!</v>
          </cell>
          <cell r="AJ178" t="e">
            <v>#VALUE!</v>
          </cell>
          <cell r="AK178" t="e">
            <v>#VALUE!</v>
          </cell>
        </row>
        <row r="179">
          <cell r="AH179" t="e">
            <v>#VALUE!</v>
          </cell>
          <cell r="AI179" t="e">
            <v>#VALUE!</v>
          </cell>
          <cell r="AJ179" t="e">
            <v>#VALUE!</v>
          </cell>
          <cell r="AK179" t="e">
            <v>#VALUE!</v>
          </cell>
        </row>
        <row r="180">
          <cell r="AH180" t="e">
            <v>#VALUE!</v>
          </cell>
          <cell r="AI180" t="e">
            <v>#VALUE!</v>
          </cell>
          <cell r="AJ180" t="e">
            <v>#VALUE!</v>
          </cell>
          <cell r="AK180" t="e">
            <v>#VALUE!</v>
          </cell>
        </row>
        <row r="181">
          <cell r="AH181" t="e">
            <v>#VALUE!</v>
          </cell>
          <cell r="AI181" t="e">
            <v>#VALUE!</v>
          </cell>
          <cell r="AJ181" t="e">
            <v>#VALUE!</v>
          </cell>
          <cell r="AK181" t="e">
            <v>#VALUE!</v>
          </cell>
        </row>
        <row r="182">
          <cell r="AH182" t="e">
            <v>#VALUE!</v>
          </cell>
          <cell r="AI182" t="e">
            <v>#VALUE!</v>
          </cell>
          <cell r="AJ182" t="e">
            <v>#VALUE!</v>
          </cell>
          <cell r="AK182" t="e">
            <v>#VALUE!</v>
          </cell>
        </row>
        <row r="183">
          <cell r="AH183" t="e">
            <v>#VALUE!</v>
          </cell>
          <cell r="AI183" t="e">
            <v>#VALUE!</v>
          </cell>
          <cell r="AJ183" t="e">
            <v>#VALUE!</v>
          </cell>
          <cell r="AK183" t="e">
            <v>#VALUE!</v>
          </cell>
        </row>
        <row r="184">
          <cell r="AH184" t="e">
            <v>#VALUE!</v>
          </cell>
          <cell r="AI184" t="e">
            <v>#VALUE!</v>
          </cell>
          <cell r="AJ184" t="e">
            <v>#VALUE!</v>
          </cell>
          <cell r="AK184" t="e">
            <v>#VALUE!</v>
          </cell>
        </row>
        <row r="185">
          <cell r="AH185" t="e">
            <v>#VALUE!</v>
          </cell>
          <cell r="AI185" t="e">
            <v>#VALUE!</v>
          </cell>
          <cell r="AJ185" t="e">
            <v>#VALUE!</v>
          </cell>
          <cell r="AK185" t="e">
            <v>#VALUE!</v>
          </cell>
        </row>
        <row r="186">
          <cell r="AH186" t="e">
            <v>#VALUE!</v>
          </cell>
          <cell r="AI186" t="e">
            <v>#VALUE!</v>
          </cell>
          <cell r="AJ186" t="e">
            <v>#VALUE!</v>
          </cell>
          <cell r="AK186" t="e">
            <v>#VALUE!</v>
          </cell>
        </row>
        <row r="187">
          <cell r="AH187" t="e">
            <v>#VALUE!</v>
          </cell>
          <cell r="AI187" t="e">
            <v>#VALUE!</v>
          </cell>
          <cell r="AJ187" t="e">
            <v>#VALUE!</v>
          </cell>
          <cell r="AK187" t="e">
            <v>#VALUE!</v>
          </cell>
        </row>
        <row r="188">
          <cell r="AH188" t="e">
            <v>#VALUE!</v>
          </cell>
          <cell r="AI188" t="e">
            <v>#VALUE!</v>
          </cell>
          <cell r="AJ188" t="e">
            <v>#VALUE!</v>
          </cell>
          <cell r="AK188" t="e">
            <v>#VALUE!</v>
          </cell>
        </row>
        <row r="189">
          <cell r="AH189" t="e">
            <v>#VALUE!</v>
          </cell>
          <cell r="AI189" t="e">
            <v>#VALUE!</v>
          </cell>
          <cell r="AJ189" t="e">
            <v>#VALUE!</v>
          </cell>
          <cell r="AK189" t="e">
            <v>#VALUE!</v>
          </cell>
        </row>
        <row r="190">
          <cell r="AH190" t="e">
            <v>#VALUE!</v>
          </cell>
          <cell r="AI190" t="e">
            <v>#VALUE!</v>
          </cell>
          <cell r="AJ190" t="e">
            <v>#VALUE!</v>
          </cell>
          <cell r="AK190" t="e">
            <v>#VALUE!</v>
          </cell>
        </row>
        <row r="191">
          <cell r="AH191" t="e">
            <v>#VALUE!</v>
          </cell>
          <cell r="AI191" t="e">
            <v>#VALUE!</v>
          </cell>
          <cell r="AJ191" t="e">
            <v>#VALUE!</v>
          </cell>
          <cell r="AK191" t="e">
            <v>#VALUE!</v>
          </cell>
        </row>
        <row r="192">
          <cell r="AH192" t="e">
            <v>#VALUE!</v>
          </cell>
          <cell r="AI192" t="e">
            <v>#VALUE!</v>
          </cell>
          <cell r="AJ192" t="e">
            <v>#VALUE!</v>
          </cell>
          <cell r="AK192" t="e">
            <v>#VALUE!</v>
          </cell>
        </row>
        <row r="193">
          <cell r="AH193" t="e">
            <v>#VALUE!</v>
          </cell>
          <cell r="AI193" t="e">
            <v>#VALUE!</v>
          </cell>
          <cell r="AJ193" t="e">
            <v>#VALUE!</v>
          </cell>
          <cell r="AK193" t="e">
            <v>#VALUE!</v>
          </cell>
        </row>
        <row r="194">
          <cell r="AH194" t="e">
            <v>#VALUE!</v>
          </cell>
          <cell r="AI194" t="e">
            <v>#VALUE!</v>
          </cell>
          <cell r="AJ194" t="e">
            <v>#VALUE!</v>
          </cell>
          <cell r="AK194" t="e">
            <v>#VALUE!</v>
          </cell>
        </row>
        <row r="195">
          <cell r="AH195" t="e">
            <v>#VALUE!</v>
          </cell>
          <cell r="AI195" t="e">
            <v>#VALUE!</v>
          </cell>
          <cell r="AJ195" t="e">
            <v>#VALUE!</v>
          </cell>
          <cell r="AK195" t="e">
            <v>#VALUE!</v>
          </cell>
        </row>
        <row r="196">
          <cell r="AH196" t="e">
            <v>#VALUE!</v>
          </cell>
          <cell r="AI196" t="e">
            <v>#VALUE!</v>
          </cell>
          <cell r="AJ196" t="e">
            <v>#VALUE!</v>
          </cell>
          <cell r="AK196" t="e">
            <v>#VALUE!</v>
          </cell>
        </row>
        <row r="197">
          <cell r="AH197" t="e">
            <v>#VALUE!</v>
          </cell>
          <cell r="AI197" t="e">
            <v>#VALUE!</v>
          </cell>
          <cell r="AJ197" t="e">
            <v>#VALUE!</v>
          </cell>
          <cell r="AK197" t="e">
            <v>#VALUE!</v>
          </cell>
        </row>
        <row r="198">
          <cell r="AH198" t="e">
            <v>#VALUE!</v>
          </cell>
          <cell r="AI198" t="e">
            <v>#VALUE!</v>
          </cell>
          <cell r="AJ198" t="e">
            <v>#VALUE!</v>
          </cell>
          <cell r="AK198" t="e">
            <v>#VALUE!</v>
          </cell>
        </row>
        <row r="199">
          <cell r="AH199" t="e">
            <v>#VALUE!</v>
          </cell>
          <cell r="AI199" t="e">
            <v>#VALUE!</v>
          </cell>
          <cell r="AJ199" t="e">
            <v>#VALUE!</v>
          </cell>
          <cell r="AK199" t="e">
            <v>#VALUE!</v>
          </cell>
        </row>
        <row r="200">
          <cell r="AH200" t="e">
            <v>#VALUE!</v>
          </cell>
          <cell r="AI200" t="e">
            <v>#VALUE!</v>
          </cell>
          <cell r="AJ200" t="e">
            <v>#VALUE!</v>
          </cell>
          <cell r="AK200" t="e">
            <v>#VALUE!</v>
          </cell>
        </row>
        <row r="201">
          <cell r="AH201" t="e">
            <v>#VALUE!</v>
          </cell>
          <cell r="AI201" t="e">
            <v>#VALUE!</v>
          </cell>
          <cell r="AJ201" t="e">
            <v>#VALUE!</v>
          </cell>
          <cell r="AK201" t="e">
            <v>#VALUE!</v>
          </cell>
        </row>
        <row r="202">
          <cell r="AH202" t="e">
            <v>#VALUE!</v>
          </cell>
          <cell r="AI202" t="e">
            <v>#VALUE!</v>
          </cell>
          <cell r="AJ202" t="e">
            <v>#VALUE!</v>
          </cell>
          <cell r="AK202" t="e">
            <v>#VALUE!</v>
          </cell>
        </row>
        <row r="203">
          <cell r="AH203" t="e">
            <v>#VALUE!</v>
          </cell>
          <cell r="AI203" t="e">
            <v>#VALUE!</v>
          </cell>
          <cell r="AJ203" t="e">
            <v>#VALUE!</v>
          </cell>
          <cell r="AK203" t="e">
            <v>#VALUE!</v>
          </cell>
        </row>
        <row r="204">
          <cell r="AH204" t="e">
            <v>#VALUE!</v>
          </cell>
          <cell r="AI204" t="e">
            <v>#VALUE!</v>
          </cell>
          <cell r="AJ204" t="e">
            <v>#VALUE!</v>
          </cell>
          <cell r="AK204" t="e">
            <v>#VALUE!</v>
          </cell>
        </row>
        <row r="205">
          <cell r="AH205" t="e">
            <v>#VALUE!</v>
          </cell>
          <cell r="AI205" t="e">
            <v>#VALUE!</v>
          </cell>
          <cell r="AJ205" t="e">
            <v>#VALUE!</v>
          </cell>
          <cell r="AK205" t="e">
            <v>#VALUE!</v>
          </cell>
        </row>
        <row r="206">
          <cell r="AH206" t="e">
            <v>#VALUE!</v>
          </cell>
          <cell r="AI206" t="e">
            <v>#VALUE!</v>
          </cell>
          <cell r="AJ206" t="e">
            <v>#VALUE!</v>
          </cell>
          <cell r="AK206" t="e">
            <v>#VALUE!</v>
          </cell>
        </row>
        <row r="207">
          <cell r="AH207" t="e">
            <v>#VALUE!</v>
          </cell>
          <cell r="AI207" t="e">
            <v>#VALUE!</v>
          </cell>
          <cell r="AJ207" t="e">
            <v>#VALUE!</v>
          </cell>
          <cell r="AK207" t="e">
            <v>#VALUE!</v>
          </cell>
        </row>
        <row r="208">
          <cell r="AH208" t="e">
            <v>#VALUE!</v>
          </cell>
          <cell r="AI208" t="e">
            <v>#VALUE!</v>
          </cell>
          <cell r="AJ208" t="e">
            <v>#VALUE!</v>
          </cell>
          <cell r="AK208" t="e">
            <v>#VALUE!</v>
          </cell>
        </row>
        <row r="209">
          <cell r="AH209" t="e">
            <v>#VALUE!</v>
          </cell>
          <cell r="AI209" t="e">
            <v>#VALUE!</v>
          </cell>
          <cell r="AJ209" t="e">
            <v>#VALUE!</v>
          </cell>
          <cell r="AK209" t="e">
            <v>#VALUE!</v>
          </cell>
        </row>
        <row r="210">
          <cell r="AH210" t="e">
            <v>#VALUE!</v>
          </cell>
          <cell r="AI210" t="e">
            <v>#VALUE!</v>
          </cell>
          <cell r="AJ210" t="e">
            <v>#VALUE!</v>
          </cell>
          <cell r="AK210" t="e">
            <v>#VALUE!</v>
          </cell>
        </row>
        <row r="211">
          <cell r="AH211" t="e">
            <v>#VALUE!</v>
          </cell>
          <cell r="AI211" t="e">
            <v>#VALUE!</v>
          </cell>
          <cell r="AJ211" t="e">
            <v>#VALUE!</v>
          </cell>
          <cell r="AK211" t="e">
            <v>#VALUE!</v>
          </cell>
        </row>
        <row r="212">
          <cell r="AH212" t="e">
            <v>#VALUE!</v>
          </cell>
          <cell r="AI212" t="e">
            <v>#VALUE!</v>
          </cell>
          <cell r="AJ212" t="e">
            <v>#VALUE!</v>
          </cell>
          <cell r="AK212" t="e">
            <v>#VALUE!</v>
          </cell>
        </row>
        <row r="213">
          <cell r="AH213" t="e">
            <v>#VALUE!</v>
          </cell>
          <cell r="AI213" t="e">
            <v>#VALUE!</v>
          </cell>
          <cell r="AJ213" t="e">
            <v>#VALUE!</v>
          </cell>
          <cell r="AK213" t="e">
            <v>#VALUE!</v>
          </cell>
        </row>
        <row r="214">
          <cell r="AH214" t="e">
            <v>#VALUE!</v>
          </cell>
          <cell r="AI214" t="e">
            <v>#VALUE!</v>
          </cell>
          <cell r="AJ214" t="e">
            <v>#VALUE!</v>
          </cell>
          <cell r="AK214" t="e">
            <v>#VALUE!</v>
          </cell>
        </row>
        <row r="215">
          <cell r="AH215" t="e">
            <v>#VALUE!</v>
          </cell>
          <cell r="AI215" t="e">
            <v>#VALUE!</v>
          </cell>
          <cell r="AJ215" t="e">
            <v>#VALUE!</v>
          </cell>
          <cell r="AK215" t="e">
            <v>#VALUE!</v>
          </cell>
        </row>
        <row r="216">
          <cell r="AH216" t="e">
            <v>#VALUE!</v>
          </cell>
          <cell r="AI216" t="e">
            <v>#VALUE!</v>
          </cell>
          <cell r="AJ216" t="e">
            <v>#VALUE!</v>
          </cell>
          <cell r="AK216" t="e">
            <v>#VALUE!</v>
          </cell>
        </row>
        <row r="217">
          <cell r="AH217" t="e">
            <v>#VALUE!</v>
          </cell>
          <cell r="AI217" t="e">
            <v>#VALUE!</v>
          </cell>
          <cell r="AJ217" t="e">
            <v>#VALUE!</v>
          </cell>
          <cell r="AK217" t="e">
            <v>#VALUE!</v>
          </cell>
        </row>
        <row r="218">
          <cell r="AH218" t="e">
            <v>#VALUE!</v>
          </cell>
          <cell r="AI218" t="e">
            <v>#VALUE!</v>
          </cell>
          <cell r="AJ218" t="e">
            <v>#VALUE!</v>
          </cell>
          <cell r="AK218" t="e">
            <v>#VALUE!</v>
          </cell>
        </row>
        <row r="219">
          <cell r="AH219" t="e">
            <v>#VALUE!</v>
          </cell>
          <cell r="AI219" t="e">
            <v>#VALUE!</v>
          </cell>
          <cell r="AJ219" t="e">
            <v>#VALUE!</v>
          </cell>
          <cell r="AK219" t="e">
            <v>#VALUE!</v>
          </cell>
        </row>
        <row r="220">
          <cell r="AH220" t="e">
            <v>#VALUE!</v>
          </cell>
          <cell r="AI220" t="e">
            <v>#VALUE!</v>
          </cell>
          <cell r="AJ220" t="e">
            <v>#VALUE!</v>
          </cell>
          <cell r="AK220" t="e">
            <v>#VALUE!</v>
          </cell>
        </row>
        <row r="221">
          <cell r="AH221" t="e">
            <v>#VALUE!</v>
          </cell>
          <cell r="AI221" t="e">
            <v>#VALUE!</v>
          </cell>
          <cell r="AJ221" t="e">
            <v>#VALUE!</v>
          </cell>
          <cell r="AK221" t="e">
            <v>#VALUE!</v>
          </cell>
        </row>
        <row r="222">
          <cell r="AH222" t="e">
            <v>#VALUE!</v>
          </cell>
          <cell r="AI222" t="e">
            <v>#VALUE!</v>
          </cell>
          <cell r="AJ222" t="e">
            <v>#VALUE!</v>
          </cell>
          <cell r="AK222" t="e">
            <v>#VALUE!</v>
          </cell>
        </row>
        <row r="223">
          <cell r="AH223" t="e">
            <v>#VALUE!</v>
          </cell>
          <cell r="AI223" t="e">
            <v>#VALUE!</v>
          </cell>
          <cell r="AJ223" t="e">
            <v>#VALUE!</v>
          </cell>
          <cell r="AK223" t="e">
            <v>#VALUE!</v>
          </cell>
        </row>
        <row r="224">
          <cell r="AH224" t="e">
            <v>#VALUE!</v>
          </cell>
          <cell r="AI224" t="e">
            <v>#VALUE!</v>
          </cell>
          <cell r="AJ224" t="e">
            <v>#VALUE!</v>
          </cell>
          <cell r="AK224" t="e">
            <v>#VALUE!</v>
          </cell>
        </row>
        <row r="225">
          <cell r="AH225" t="e">
            <v>#VALUE!</v>
          </cell>
          <cell r="AI225" t="e">
            <v>#VALUE!</v>
          </cell>
          <cell r="AJ225" t="e">
            <v>#VALUE!</v>
          </cell>
          <cell r="AK225" t="e">
            <v>#VALUE!</v>
          </cell>
        </row>
        <row r="226">
          <cell r="AH226" t="e">
            <v>#VALUE!</v>
          </cell>
          <cell r="AI226" t="e">
            <v>#VALUE!</v>
          </cell>
          <cell r="AJ226" t="e">
            <v>#VALUE!</v>
          </cell>
          <cell r="AK226" t="e">
            <v>#VALUE!</v>
          </cell>
        </row>
        <row r="227">
          <cell r="AH227" t="e">
            <v>#VALUE!</v>
          </cell>
          <cell r="AI227" t="e">
            <v>#VALUE!</v>
          </cell>
          <cell r="AJ227" t="e">
            <v>#VALUE!</v>
          </cell>
          <cell r="AK227" t="e">
            <v>#VALUE!</v>
          </cell>
        </row>
        <row r="228">
          <cell r="AH228" t="e">
            <v>#VALUE!</v>
          </cell>
          <cell r="AI228" t="e">
            <v>#VALUE!</v>
          </cell>
          <cell r="AJ228" t="e">
            <v>#VALUE!</v>
          </cell>
          <cell r="AK228" t="e">
            <v>#VALUE!</v>
          </cell>
        </row>
        <row r="229">
          <cell r="AH229" t="e">
            <v>#VALUE!</v>
          </cell>
          <cell r="AI229" t="e">
            <v>#VALUE!</v>
          </cell>
          <cell r="AJ229" t="e">
            <v>#VALUE!</v>
          </cell>
          <cell r="AK229" t="e">
            <v>#VALUE!</v>
          </cell>
        </row>
        <row r="230">
          <cell r="AH230" t="e">
            <v>#VALUE!</v>
          </cell>
          <cell r="AI230" t="e">
            <v>#VALUE!</v>
          </cell>
          <cell r="AJ230" t="e">
            <v>#VALUE!</v>
          </cell>
          <cell r="AK230" t="e">
            <v>#VALUE!</v>
          </cell>
        </row>
        <row r="231">
          <cell r="AH231" t="e">
            <v>#VALUE!</v>
          </cell>
          <cell r="AI231" t="e">
            <v>#VALUE!</v>
          </cell>
          <cell r="AJ231" t="e">
            <v>#VALUE!</v>
          </cell>
          <cell r="AK231" t="e">
            <v>#VALUE!</v>
          </cell>
        </row>
        <row r="232">
          <cell r="AH232" t="e">
            <v>#VALUE!</v>
          </cell>
          <cell r="AI232" t="e">
            <v>#VALUE!</v>
          </cell>
          <cell r="AJ232" t="e">
            <v>#VALUE!</v>
          </cell>
          <cell r="AK232" t="e">
            <v>#VALUE!</v>
          </cell>
        </row>
        <row r="233">
          <cell r="AH233" t="e">
            <v>#VALUE!</v>
          </cell>
          <cell r="AI233" t="e">
            <v>#VALUE!</v>
          </cell>
          <cell r="AJ233" t="e">
            <v>#VALUE!</v>
          </cell>
          <cell r="AK233" t="e">
            <v>#VALUE!</v>
          </cell>
        </row>
        <row r="234">
          <cell r="AH234" t="e">
            <v>#VALUE!</v>
          </cell>
          <cell r="AI234" t="e">
            <v>#VALUE!</v>
          </cell>
          <cell r="AJ234" t="e">
            <v>#VALUE!</v>
          </cell>
          <cell r="AK234" t="e">
            <v>#VALUE!</v>
          </cell>
        </row>
        <row r="235">
          <cell r="AH235" t="e">
            <v>#VALUE!</v>
          </cell>
          <cell r="AI235" t="e">
            <v>#VALUE!</v>
          </cell>
          <cell r="AJ235" t="e">
            <v>#VALUE!</v>
          </cell>
          <cell r="AK235" t="e">
            <v>#VALUE!</v>
          </cell>
        </row>
        <row r="236">
          <cell r="AH236" t="e">
            <v>#VALUE!</v>
          </cell>
          <cell r="AI236" t="e">
            <v>#VALUE!</v>
          </cell>
          <cell r="AJ236" t="e">
            <v>#VALUE!</v>
          </cell>
          <cell r="AK236" t="e">
            <v>#VALUE!</v>
          </cell>
        </row>
        <row r="237">
          <cell r="AH237" t="e">
            <v>#VALUE!</v>
          </cell>
          <cell r="AI237" t="e">
            <v>#VALUE!</v>
          </cell>
          <cell r="AJ237" t="e">
            <v>#VALUE!</v>
          </cell>
          <cell r="AK237" t="e">
            <v>#VALUE!</v>
          </cell>
        </row>
        <row r="238">
          <cell r="AH238" t="e">
            <v>#VALUE!</v>
          </cell>
          <cell r="AI238" t="e">
            <v>#VALUE!</v>
          </cell>
          <cell r="AJ238" t="e">
            <v>#VALUE!</v>
          </cell>
          <cell r="AK238" t="e">
            <v>#VALUE!</v>
          </cell>
        </row>
        <row r="239">
          <cell r="AH239" t="e">
            <v>#VALUE!</v>
          </cell>
          <cell r="AI239" t="e">
            <v>#VALUE!</v>
          </cell>
          <cell r="AJ239" t="e">
            <v>#VALUE!</v>
          </cell>
          <cell r="AK239" t="e">
            <v>#VALUE!</v>
          </cell>
        </row>
        <row r="240">
          <cell r="AH240" t="e">
            <v>#VALUE!</v>
          </cell>
          <cell r="AI240" t="e">
            <v>#VALUE!</v>
          </cell>
          <cell r="AJ240" t="e">
            <v>#VALUE!</v>
          </cell>
          <cell r="AK240" t="e">
            <v>#VALUE!</v>
          </cell>
        </row>
        <row r="241">
          <cell r="AH241" t="e">
            <v>#VALUE!</v>
          </cell>
          <cell r="AI241" t="e">
            <v>#VALUE!</v>
          </cell>
          <cell r="AJ241" t="e">
            <v>#VALUE!</v>
          </cell>
          <cell r="AK241" t="e">
            <v>#VALUE!</v>
          </cell>
        </row>
        <row r="242">
          <cell r="AH242" t="e">
            <v>#VALUE!</v>
          </cell>
          <cell r="AI242" t="e">
            <v>#VALUE!</v>
          </cell>
          <cell r="AJ242" t="e">
            <v>#VALUE!</v>
          </cell>
          <cell r="AK242" t="e">
            <v>#VALUE!</v>
          </cell>
        </row>
        <row r="243">
          <cell r="AH243" t="e">
            <v>#VALUE!</v>
          </cell>
          <cell r="AI243" t="e">
            <v>#VALUE!</v>
          </cell>
          <cell r="AJ243" t="e">
            <v>#VALUE!</v>
          </cell>
          <cell r="AK243" t="e">
            <v>#VALUE!</v>
          </cell>
        </row>
        <row r="244">
          <cell r="AH244" t="e">
            <v>#VALUE!</v>
          </cell>
          <cell r="AI244" t="e">
            <v>#VALUE!</v>
          </cell>
          <cell r="AJ244" t="e">
            <v>#VALUE!</v>
          </cell>
          <cell r="AK244" t="e">
            <v>#VALUE!</v>
          </cell>
        </row>
        <row r="245">
          <cell r="AH245" t="e">
            <v>#VALUE!</v>
          </cell>
          <cell r="AI245" t="e">
            <v>#VALUE!</v>
          </cell>
          <cell r="AJ245" t="e">
            <v>#VALUE!</v>
          </cell>
          <cell r="AK245" t="e">
            <v>#VALUE!</v>
          </cell>
        </row>
        <row r="246">
          <cell r="AH246" t="e">
            <v>#VALUE!</v>
          </cell>
          <cell r="AI246" t="e">
            <v>#VALUE!</v>
          </cell>
          <cell r="AJ246" t="e">
            <v>#VALUE!</v>
          </cell>
          <cell r="AK246" t="e">
            <v>#VALUE!</v>
          </cell>
        </row>
        <row r="247">
          <cell r="AH247" t="e">
            <v>#VALUE!</v>
          </cell>
          <cell r="AI247" t="e">
            <v>#VALUE!</v>
          </cell>
          <cell r="AJ247" t="e">
            <v>#VALUE!</v>
          </cell>
          <cell r="AK247" t="e">
            <v>#VALUE!</v>
          </cell>
        </row>
        <row r="248">
          <cell r="AH248" t="e">
            <v>#VALUE!</v>
          </cell>
          <cell r="AI248" t="e">
            <v>#VALUE!</v>
          </cell>
          <cell r="AJ248" t="e">
            <v>#VALUE!</v>
          </cell>
          <cell r="AK248" t="e">
            <v>#VALUE!</v>
          </cell>
        </row>
        <row r="249">
          <cell r="AH249" t="e">
            <v>#VALUE!</v>
          </cell>
          <cell r="AI249" t="e">
            <v>#VALUE!</v>
          </cell>
          <cell r="AJ249" t="e">
            <v>#VALUE!</v>
          </cell>
          <cell r="AK249" t="e">
            <v>#VALUE!</v>
          </cell>
        </row>
        <row r="250">
          <cell r="AH250" t="e">
            <v>#VALUE!</v>
          </cell>
          <cell r="AI250" t="e">
            <v>#VALUE!</v>
          </cell>
          <cell r="AJ250" t="e">
            <v>#VALUE!</v>
          </cell>
          <cell r="AK250" t="e">
            <v>#VALUE!</v>
          </cell>
        </row>
        <row r="251">
          <cell r="AH251" t="e">
            <v>#VALUE!</v>
          </cell>
          <cell r="AI251" t="e">
            <v>#VALUE!</v>
          </cell>
          <cell r="AJ251" t="e">
            <v>#VALUE!</v>
          </cell>
          <cell r="AK251" t="e">
            <v>#VALUE!</v>
          </cell>
        </row>
        <row r="252">
          <cell r="AH252" t="e">
            <v>#VALUE!</v>
          </cell>
          <cell r="AI252" t="e">
            <v>#VALUE!</v>
          </cell>
          <cell r="AJ252" t="e">
            <v>#VALUE!</v>
          </cell>
          <cell r="AK252" t="e">
            <v>#VALUE!</v>
          </cell>
        </row>
        <row r="253">
          <cell r="AH253" t="e">
            <v>#VALUE!</v>
          </cell>
          <cell r="AI253" t="e">
            <v>#VALUE!</v>
          </cell>
          <cell r="AJ253" t="e">
            <v>#VALUE!</v>
          </cell>
          <cell r="AK253" t="e">
            <v>#VALUE!</v>
          </cell>
        </row>
        <row r="254">
          <cell r="AH254" t="e">
            <v>#VALUE!</v>
          </cell>
          <cell r="AI254" t="e">
            <v>#VALUE!</v>
          </cell>
          <cell r="AJ254" t="e">
            <v>#VALUE!</v>
          </cell>
          <cell r="AK254" t="e">
            <v>#VALUE!</v>
          </cell>
        </row>
        <row r="255">
          <cell r="AH255" t="e">
            <v>#VALUE!</v>
          </cell>
          <cell r="AI255" t="e">
            <v>#VALUE!</v>
          </cell>
          <cell r="AJ255" t="e">
            <v>#VALUE!</v>
          </cell>
          <cell r="AK255" t="e">
            <v>#VALUE!</v>
          </cell>
        </row>
        <row r="256">
          <cell r="AH256" t="e">
            <v>#VALUE!</v>
          </cell>
          <cell r="AI256" t="e">
            <v>#VALUE!</v>
          </cell>
          <cell r="AJ256" t="e">
            <v>#VALUE!</v>
          </cell>
          <cell r="AK256" t="e">
            <v>#VALUE!</v>
          </cell>
        </row>
        <row r="257">
          <cell r="AH257" t="e">
            <v>#VALUE!</v>
          </cell>
          <cell r="AI257" t="e">
            <v>#VALUE!</v>
          </cell>
          <cell r="AJ257" t="e">
            <v>#VALUE!</v>
          </cell>
          <cell r="AK257" t="e">
            <v>#VALUE!</v>
          </cell>
        </row>
        <row r="258">
          <cell r="AH258" t="e">
            <v>#VALUE!</v>
          </cell>
          <cell r="AI258" t="e">
            <v>#VALUE!</v>
          </cell>
          <cell r="AJ258" t="e">
            <v>#VALUE!</v>
          </cell>
          <cell r="AK258" t="e">
            <v>#VALUE!</v>
          </cell>
        </row>
        <row r="259">
          <cell r="AH259" t="e">
            <v>#VALUE!</v>
          </cell>
          <cell r="AI259" t="e">
            <v>#VALUE!</v>
          </cell>
          <cell r="AJ259" t="e">
            <v>#VALUE!</v>
          </cell>
          <cell r="AK259" t="e">
            <v>#VALUE!</v>
          </cell>
        </row>
        <row r="260">
          <cell r="AH260" t="e">
            <v>#VALUE!</v>
          </cell>
          <cell r="AI260" t="e">
            <v>#VALUE!</v>
          </cell>
          <cell r="AJ260" t="e">
            <v>#VALUE!</v>
          </cell>
          <cell r="AK260" t="e">
            <v>#VALUE!</v>
          </cell>
        </row>
        <row r="261">
          <cell r="AH261" t="e">
            <v>#VALUE!</v>
          </cell>
          <cell r="AI261" t="e">
            <v>#VALUE!</v>
          </cell>
          <cell r="AJ261" t="e">
            <v>#VALUE!</v>
          </cell>
          <cell r="AK261" t="e">
            <v>#VALUE!</v>
          </cell>
        </row>
        <row r="262">
          <cell r="AH262" t="e">
            <v>#VALUE!</v>
          </cell>
          <cell r="AI262" t="e">
            <v>#VALUE!</v>
          </cell>
          <cell r="AJ262" t="e">
            <v>#VALUE!</v>
          </cell>
          <cell r="AK262" t="e">
            <v>#VALUE!</v>
          </cell>
        </row>
        <row r="263">
          <cell r="AH263" t="e">
            <v>#VALUE!</v>
          </cell>
          <cell r="AI263" t="e">
            <v>#VALUE!</v>
          </cell>
          <cell r="AJ263" t="e">
            <v>#VALUE!</v>
          </cell>
          <cell r="AK263" t="e">
            <v>#VALUE!</v>
          </cell>
        </row>
        <row r="264">
          <cell r="AH264" t="e">
            <v>#VALUE!</v>
          </cell>
          <cell r="AI264" t="e">
            <v>#VALUE!</v>
          </cell>
          <cell r="AJ264" t="e">
            <v>#VALUE!</v>
          </cell>
          <cell r="AK264" t="e">
            <v>#VALUE!</v>
          </cell>
        </row>
        <row r="265">
          <cell r="AH265" t="e">
            <v>#VALUE!</v>
          </cell>
          <cell r="AI265" t="e">
            <v>#VALUE!</v>
          </cell>
          <cell r="AJ265" t="e">
            <v>#VALUE!</v>
          </cell>
          <cell r="AK265" t="e">
            <v>#VALUE!</v>
          </cell>
        </row>
        <row r="266">
          <cell r="AH266" t="e">
            <v>#VALUE!</v>
          </cell>
          <cell r="AI266" t="e">
            <v>#VALUE!</v>
          </cell>
          <cell r="AJ266" t="e">
            <v>#VALUE!</v>
          </cell>
          <cell r="AK266" t="e">
            <v>#VALUE!</v>
          </cell>
        </row>
        <row r="267">
          <cell r="AH267" t="e">
            <v>#VALUE!</v>
          </cell>
          <cell r="AI267" t="e">
            <v>#VALUE!</v>
          </cell>
          <cell r="AJ267" t="e">
            <v>#VALUE!</v>
          </cell>
          <cell r="AK267" t="e">
            <v>#VALUE!</v>
          </cell>
        </row>
        <row r="268">
          <cell r="AH268" t="e">
            <v>#VALUE!</v>
          </cell>
          <cell r="AI268" t="e">
            <v>#VALUE!</v>
          </cell>
          <cell r="AJ268" t="e">
            <v>#VALUE!</v>
          </cell>
          <cell r="AK268" t="e">
            <v>#VALUE!</v>
          </cell>
        </row>
        <row r="269">
          <cell r="AH269" t="e">
            <v>#VALUE!</v>
          </cell>
          <cell r="AI269" t="e">
            <v>#VALUE!</v>
          </cell>
          <cell r="AJ269" t="e">
            <v>#VALUE!</v>
          </cell>
          <cell r="AK269" t="e">
            <v>#VALUE!</v>
          </cell>
        </row>
        <row r="270">
          <cell r="AH270" t="e">
            <v>#VALUE!</v>
          </cell>
          <cell r="AI270" t="e">
            <v>#VALUE!</v>
          </cell>
          <cell r="AJ270" t="e">
            <v>#VALUE!</v>
          </cell>
          <cell r="AK270" t="e">
            <v>#VALUE!</v>
          </cell>
        </row>
        <row r="271">
          <cell r="AH271" t="e">
            <v>#VALUE!</v>
          </cell>
          <cell r="AI271" t="e">
            <v>#VALUE!</v>
          </cell>
          <cell r="AJ271" t="e">
            <v>#VALUE!</v>
          </cell>
          <cell r="AK271" t="e">
            <v>#VALUE!</v>
          </cell>
        </row>
        <row r="272">
          <cell r="AH272" t="e">
            <v>#VALUE!</v>
          </cell>
          <cell r="AI272" t="e">
            <v>#VALUE!</v>
          </cell>
          <cell r="AJ272" t="e">
            <v>#VALUE!</v>
          </cell>
          <cell r="AK272" t="e">
            <v>#VALUE!</v>
          </cell>
        </row>
        <row r="273">
          <cell r="AH273" t="e">
            <v>#VALUE!</v>
          </cell>
          <cell r="AI273" t="e">
            <v>#VALUE!</v>
          </cell>
          <cell r="AJ273" t="e">
            <v>#VALUE!</v>
          </cell>
          <cell r="AK273" t="e">
            <v>#VALUE!</v>
          </cell>
        </row>
        <row r="274">
          <cell r="AH274" t="e">
            <v>#VALUE!</v>
          </cell>
          <cell r="AI274" t="e">
            <v>#VALUE!</v>
          </cell>
          <cell r="AJ274" t="e">
            <v>#VALUE!</v>
          </cell>
          <cell r="AK274" t="e">
            <v>#VALUE!</v>
          </cell>
        </row>
        <row r="275">
          <cell r="AH275" t="e">
            <v>#VALUE!</v>
          </cell>
          <cell r="AI275" t="e">
            <v>#VALUE!</v>
          </cell>
          <cell r="AJ275" t="e">
            <v>#VALUE!</v>
          </cell>
          <cell r="AK275" t="e">
            <v>#VALUE!</v>
          </cell>
        </row>
        <row r="276">
          <cell r="AH276" t="e">
            <v>#VALUE!</v>
          </cell>
          <cell r="AI276" t="e">
            <v>#VALUE!</v>
          </cell>
          <cell r="AJ276" t="e">
            <v>#VALUE!</v>
          </cell>
          <cell r="AK276" t="e">
            <v>#VALUE!</v>
          </cell>
        </row>
        <row r="277">
          <cell r="AH277" t="e">
            <v>#VALUE!</v>
          </cell>
          <cell r="AI277" t="e">
            <v>#VALUE!</v>
          </cell>
          <cell r="AJ277" t="e">
            <v>#VALUE!</v>
          </cell>
          <cell r="AK277" t="e">
            <v>#VALUE!</v>
          </cell>
        </row>
        <row r="278">
          <cell r="AH278" t="e">
            <v>#VALUE!</v>
          </cell>
          <cell r="AI278" t="e">
            <v>#VALUE!</v>
          </cell>
          <cell r="AJ278" t="e">
            <v>#VALUE!</v>
          </cell>
          <cell r="AK278" t="e">
            <v>#VALUE!</v>
          </cell>
        </row>
        <row r="279">
          <cell r="AH279" t="e">
            <v>#VALUE!</v>
          </cell>
          <cell r="AI279" t="e">
            <v>#VALUE!</v>
          </cell>
          <cell r="AJ279" t="e">
            <v>#VALUE!</v>
          </cell>
          <cell r="AK279" t="e">
            <v>#VALUE!</v>
          </cell>
        </row>
        <row r="280">
          <cell r="AH280" t="e">
            <v>#VALUE!</v>
          </cell>
          <cell r="AI280" t="e">
            <v>#VALUE!</v>
          </cell>
          <cell r="AJ280" t="e">
            <v>#VALUE!</v>
          </cell>
          <cell r="AK280" t="e">
            <v>#VALUE!</v>
          </cell>
        </row>
        <row r="281">
          <cell r="AH281" t="e">
            <v>#VALUE!</v>
          </cell>
          <cell r="AI281" t="e">
            <v>#VALUE!</v>
          </cell>
          <cell r="AJ281" t="e">
            <v>#VALUE!</v>
          </cell>
          <cell r="AK281" t="e">
            <v>#VALUE!</v>
          </cell>
        </row>
        <row r="282">
          <cell r="AH282" t="e">
            <v>#VALUE!</v>
          </cell>
          <cell r="AI282" t="e">
            <v>#VALUE!</v>
          </cell>
          <cell r="AJ282" t="e">
            <v>#VALUE!</v>
          </cell>
          <cell r="AK282" t="e">
            <v>#VALUE!</v>
          </cell>
        </row>
        <row r="283">
          <cell r="AH283" t="e">
            <v>#VALUE!</v>
          </cell>
          <cell r="AI283" t="e">
            <v>#VALUE!</v>
          </cell>
          <cell r="AJ283" t="e">
            <v>#VALUE!</v>
          </cell>
          <cell r="AK283" t="e">
            <v>#VALUE!</v>
          </cell>
        </row>
        <row r="284">
          <cell r="AH284" t="e">
            <v>#VALUE!</v>
          </cell>
          <cell r="AI284" t="e">
            <v>#VALUE!</v>
          </cell>
          <cell r="AJ284" t="e">
            <v>#VALUE!</v>
          </cell>
          <cell r="AK284" t="e">
            <v>#VALUE!</v>
          </cell>
        </row>
        <row r="285">
          <cell r="AH285" t="e">
            <v>#VALUE!</v>
          </cell>
          <cell r="AI285" t="e">
            <v>#VALUE!</v>
          </cell>
          <cell r="AJ285" t="e">
            <v>#VALUE!</v>
          </cell>
          <cell r="AK285" t="e">
            <v>#VALUE!</v>
          </cell>
        </row>
        <row r="286">
          <cell r="AH286" t="e">
            <v>#VALUE!</v>
          </cell>
          <cell r="AI286" t="e">
            <v>#VALUE!</v>
          </cell>
          <cell r="AJ286" t="e">
            <v>#VALUE!</v>
          </cell>
          <cell r="AK286" t="e">
            <v>#VALUE!</v>
          </cell>
        </row>
        <row r="287">
          <cell r="AH287" t="e">
            <v>#VALUE!</v>
          </cell>
          <cell r="AI287" t="e">
            <v>#VALUE!</v>
          </cell>
          <cell r="AJ287" t="e">
            <v>#VALUE!</v>
          </cell>
          <cell r="AK287" t="e">
            <v>#VALUE!</v>
          </cell>
        </row>
        <row r="288">
          <cell r="AH288" t="e">
            <v>#VALUE!</v>
          </cell>
          <cell r="AI288" t="e">
            <v>#VALUE!</v>
          </cell>
          <cell r="AJ288" t="e">
            <v>#VALUE!</v>
          </cell>
          <cell r="AK288" t="e">
            <v>#VALUE!</v>
          </cell>
        </row>
        <row r="289">
          <cell r="AH289" t="e">
            <v>#VALUE!</v>
          </cell>
          <cell r="AI289" t="e">
            <v>#VALUE!</v>
          </cell>
          <cell r="AJ289" t="e">
            <v>#VALUE!</v>
          </cell>
          <cell r="AK289" t="e">
            <v>#VALUE!</v>
          </cell>
        </row>
        <row r="290">
          <cell r="AH290" t="e">
            <v>#VALUE!</v>
          </cell>
          <cell r="AI290" t="e">
            <v>#VALUE!</v>
          </cell>
          <cell r="AJ290" t="e">
            <v>#VALUE!</v>
          </cell>
          <cell r="AK290" t="e">
            <v>#VALUE!</v>
          </cell>
        </row>
        <row r="291">
          <cell r="AH291" t="e">
            <v>#VALUE!</v>
          </cell>
          <cell r="AI291" t="e">
            <v>#VALUE!</v>
          </cell>
          <cell r="AJ291" t="e">
            <v>#VALUE!</v>
          </cell>
          <cell r="AK291" t="e">
            <v>#VALUE!</v>
          </cell>
        </row>
        <row r="292">
          <cell r="AH292" t="e">
            <v>#VALUE!</v>
          </cell>
          <cell r="AI292" t="e">
            <v>#VALUE!</v>
          </cell>
          <cell r="AJ292" t="e">
            <v>#VALUE!</v>
          </cell>
          <cell r="AK292" t="e">
            <v>#VALUE!</v>
          </cell>
        </row>
        <row r="293">
          <cell r="AH293" t="e">
            <v>#VALUE!</v>
          </cell>
          <cell r="AI293" t="e">
            <v>#VALUE!</v>
          </cell>
          <cell r="AJ293" t="e">
            <v>#VALUE!</v>
          </cell>
          <cell r="AK293" t="e">
            <v>#VALUE!</v>
          </cell>
        </row>
        <row r="294">
          <cell r="AH294" t="e">
            <v>#VALUE!</v>
          </cell>
          <cell r="AI294" t="e">
            <v>#VALUE!</v>
          </cell>
          <cell r="AJ294" t="e">
            <v>#VALUE!</v>
          </cell>
          <cell r="AK294" t="e">
            <v>#VALUE!</v>
          </cell>
        </row>
        <row r="295">
          <cell r="AH295" t="e">
            <v>#VALUE!</v>
          </cell>
          <cell r="AI295" t="e">
            <v>#VALUE!</v>
          </cell>
          <cell r="AJ295" t="e">
            <v>#VALUE!</v>
          </cell>
          <cell r="AK295" t="e">
            <v>#VALUE!</v>
          </cell>
        </row>
        <row r="296">
          <cell r="AH296" t="e">
            <v>#VALUE!</v>
          </cell>
          <cell r="AI296" t="e">
            <v>#VALUE!</v>
          </cell>
          <cell r="AJ296" t="e">
            <v>#VALUE!</v>
          </cell>
          <cell r="AK296" t="e">
            <v>#VALUE!</v>
          </cell>
        </row>
        <row r="297">
          <cell r="AH297" t="e">
            <v>#VALUE!</v>
          </cell>
          <cell r="AI297" t="e">
            <v>#VALUE!</v>
          </cell>
          <cell r="AJ297" t="e">
            <v>#VALUE!</v>
          </cell>
          <cell r="AK297" t="e">
            <v>#VALUE!</v>
          </cell>
        </row>
        <row r="298">
          <cell r="AH298" t="e">
            <v>#VALUE!</v>
          </cell>
          <cell r="AI298" t="e">
            <v>#VALUE!</v>
          </cell>
          <cell r="AJ298" t="e">
            <v>#VALUE!</v>
          </cell>
          <cell r="AK298" t="e">
            <v>#VALUE!</v>
          </cell>
        </row>
        <row r="299">
          <cell r="AH299" t="e">
            <v>#VALUE!</v>
          </cell>
          <cell r="AI299" t="e">
            <v>#VALUE!</v>
          </cell>
          <cell r="AJ299" t="e">
            <v>#VALUE!</v>
          </cell>
          <cell r="AK299" t="e">
            <v>#VALUE!</v>
          </cell>
        </row>
        <row r="300">
          <cell r="AH300" t="e">
            <v>#VALUE!</v>
          </cell>
          <cell r="AI300" t="e">
            <v>#VALUE!</v>
          </cell>
          <cell r="AJ300" t="e">
            <v>#VALUE!</v>
          </cell>
          <cell r="AK300" t="e">
            <v>#VALUE!</v>
          </cell>
        </row>
        <row r="301">
          <cell r="AH301" t="e">
            <v>#VALUE!</v>
          </cell>
          <cell r="AI301" t="e">
            <v>#VALUE!</v>
          </cell>
          <cell r="AJ301" t="e">
            <v>#VALUE!</v>
          </cell>
          <cell r="AK301" t="e">
            <v>#VALUE!</v>
          </cell>
        </row>
        <row r="302">
          <cell r="AH302" t="e">
            <v>#VALUE!</v>
          </cell>
          <cell r="AI302" t="e">
            <v>#VALUE!</v>
          </cell>
          <cell r="AJ302" t="e">
            <v>#VALUE!</v>
          </cell>
          <cell r="AK302" t="e">
            <v>#VALUE!</v>
          </cell>
        </row>
        <row r="303">
          <cell r="AH303" t="e">
            <v>#VALUE!</v>
          </cell>
          <cell r="AI303" t="e">
            <v>#VALUE!</v>
          </cell>
          <cell r="AJ303" t="e">
            <v>#VALUE!</v>
          </cell>
          <cell r="AK303" t="e">
            <v>#VALUE!</v>
          </cell>
        </row>
        <row r="304">
          <cell r="AH304" t="e">
            <v>#VALUE!</v>
          </cell>
          <cell r="AI304" t="e">
            <v>#VALUE!</v>
          </cell>
          <cell r="AJ304" t="e">
            <v>#VALUE!</v>
          </cell>
          <cell r="AK304" t="e">
            <v>#VALUE!</v>
          </cell>
        </row>
        <row r="305">
          <cell r="AH305" t="e">
            <v>#VALUE!</v>
          </cell>
          <cell r="AI305" t="e">
            <v>#VALUE!</v>
          </cell>
          <cell r="AJ305" t="e">
            <v>#VALUE!</v>
          </cell>
          <cell r="AK305" t="e">
            <v>#VALUE!</v>
          </cell>
        </row>
        <row r="306">
          <cell r="AH306" t="e">
            <v>#VALUE!</v>
          </cell>
          <cell r="AI306" t="e">
            <v>#VALUE!</v>
          </cell>
          <cell r="AJ306" t="e">
            <v>#VALUE!</v>
          </cell>
          <cell r="AK306" t="e">
            <v>#VALUE!</v>
          </cell>
        </row>
        <row r="307">
          <cell r="AH307" t="e">
            <v>#VALUE!</v>
          </cell>
          <cell r="AI307" t="e">
            <v>#VALUE!</v>
          </cell>
          <cell r="AJ307" t="e">
            <v>#VALUE!</v>
          </cell>
          <cell r="AK307" t="e">
            <v>#VALUE!</v>
          </cell>
        </row>
        <row r="308">
          <cell r="AH308" t="e">
            <v>#VALUE!</v>
          </cell>
          <cell r="AI308" t="e">
            <v>#VALUE!</v>
          </cell>
          <cell r="AJ308" t="e">
            <v>#VALUE!</v>
          </cell>
          <cell r="AK308" t="e">
            <v>#VALUE!</v>
          </cell>
        </row>
        <row r="309">
          <cell r="AH309" t="e">
            <v>#VALUE!</v>
          </cell>
          <cell r="AI309" t="e">
            <v>#VALUE!</v>
          </cell>
          <cell r="AJ309" t="e">
            <v>#VALUE!</v>
          </cell>
          <cell r="AK309" t="e">
            <v>#VALUE!</v>
          </cell>
        </row>
        <row r="310">
          <cell r="AH310" t="e">
            <v>#VALUE!</v>
          </cell>
          <cell r="AI310" t="e">
            <v>#VALUE!</v>
          </cell>
          <cell r="AJ310" t="e">
            <v>#VALUE!</v>
          </cell>
          <cell r="AK310" t="e">
            <v>#VALUE!</v>
          </cell>
        </row>
        <row r="311">
          <cell r="AH311" t="e">
            <v>#VALUE!</v>
          </cell>
          <cell r="AI311" t="e">
            <v>#VALUE!</v>
          </cell>
          <cell r="AJ311" t="e">
            <v>#VALUE!</v>
          </cell>
          <cell r="AK311" t="e">
            <v>#VALUE!</v>
          </cell>
        </row>
        <row r="312">
          <cell r="AH312" t="e">
            <v>#VALUE!</v>
          </cell>
          <cell r="AI312" t="e">
            <v>#VALUE!</v>
          </cell>
          <cell r="AJ312" t="e">
            <v>#VALUE!</v>
          </cell>
          <cell r="AK312" t="e">
            <v>#VALUE!</v>
          </cell>
        </row>
        <row r="313">
          <cell r="AH313" t="e">
            <v>#VALUE!</v>
          </cell>
          <cell r="AI313" t="e">
            <v>#VALUE!</v>
          </cell>
          <cell r="AJ313" t="e">
            <v>#VALUE!</v>
          </cell>
          <cell r="AK313" t="e">
            <v>#VALUE!</v>
          </cell>
        </row>
        <row r="314">
          <cell r="AH314" t="e">
            <v>#VALUE!</v>
          </cell>
          <cell r="AI314" t="e">
            <v>#VALUE!</v>
          </cell>
          <cell r="AJ314" t="e">
            <v>#VALUE!</v>
          </cell>
          <cell r="AK314" t="e">
            <v>#VALUE!</v>
          </cell>
        </row>
        <row r="315">
          <cell r="AH315" t="e">
            <v>#VALUE!</v>
          </cell>
          <cell r="AI315" t="e">
            <v>#VALUE!</v>
          </cell>
          <cell r="AJ315" t="e">
            <v>#VALUE!</v>
          </cell>
          <cell r="AK315" t="e">
            <v>#VALUE!</v>
          </cell>
        </row>
        <row r="316">
          <cell r="AH316" t="e">
            <v>#VALUE!</v>
          </cell>
          <cell r="AI316" t="e">
            <v>#VALUE!</v>
          </cell>
          <cell r="AJ316" t="e">
            <v>#VALUE!</v>
          </cell>
          <cell r="AK316" t="e">
            <v>#VALUE!</v>
          </cell>
        </row>
        <row r="317">
          <cell r="AH317" t="e">
            <v>#VALUE!</v>
          </cell>
          <cell r="AI317" t="e">
            <v>#VALUE!</v>
          </cell>
          <cell r="AJ317" t="e">
            <v>#VALUE!</v>
          </cell>
          <cell r="AK317" t="e">
            <v>#VALUE!</v>
          </cell>
        </row>
        <row r="318">
          <cell r="AH318" t="e">
            <v>#VALUE!</v>
          </cell>
          <cell r="AI318" t="e">
            <v>#VALUE!</v>
          </cell>
          <cell r="AJ318" t="e">
            <v>#VALUE!</v>
          </cell>
          <cell r="AK318" t="e">
            <v>#VALUE!</v>
          </cell>
        </row>
        <row r="319">
          <cell r="AH319" t="e">
            <v>#VALUE!</v>
          </cell>
          <cell r="AI319" t="e">
            <v>#VALUE!</v>
          </cell>
          <cell r="AJ319" t="e">
            <v>#VALUE!</v>
          </cell>
          <cell r="AK319" t="e">
            <v>#VALUE!</v>
          </cell>
        </row>
        <row r="320">
          <cell r="AH320" t="e">
            <v>#VALUE!</v>
          </cell>
          <cell r="AI320" t="e">
            <v>#VALUE!</v>
          </cell>
          <cell r="AJ320" t="e">
            <v>#VALUE!</v>
          </cell>
          <cell r="AK320" t="e">
            <v>#VALUE!</v>
          </cell>
        </row>
        <row r="321">
          <cell r="AH321" t="e">
            <v>#VALUE!</v>
          </cell>
          <cell r="AI321" t="e">
            <v>#VALUE!</v>
          </cell>
          <cell r="AJ321" t="e">
            <v>#VALUE!</v>
          </cell>
          <cell r="AK321" t="e">
            <v>#VALUE!</v>
          </cell>
        </row>
        <row r="322">
          <cell r="AH322" t="e">
            <v>#VALUE!</v>
          </cell>
          <cell r="AI322" t="e">
            <v>#VALUE!</v>
          </cell>
          <cell r="AJ322" t="e">
            <v>#VALUE!</v>
          </cell>
          <cell r="AK322" t="e">
            <v>#VALUE!</v>
          </cell>
        </row>
        <row r="323">
          <cell r="AH323" t="e">
            <v>#VALUE!</v>
          </cell>
          <cell r="AI323" t="e">
            <v>#VALUE!</v>
          </cell>
          <cell r="AJ323" t="e">
            <v>#VALUE!</v>
          </cell>
          <cell r="AK323" t="e">
            <v>#VALUE!</v>
          </cell>
        </row>
        <row r="324">
          <cell r="AH324" t="e">
            <v>#VALUE!</v>
          </cell>
          <cell r="AI324" t="e">
            <v>#VALUE!</v>
          </cell>
          <cell r="AJ324" t="e">
            <v>#VALUE!</v>
          </cell>
          <cell r="AK324" t="e">
            <v>#VALUE!</v>
          </cell>
        </row>
        <row r="325">
          <cell r="AH325" t="e">
            <v>#VALUE!</v>
          </cell>
          <cell r="AI325" t="e">
            <v>#VALUE!</v>
          </cell>
          <cell r="AJ325" t="e">
            <v>#VALUE!</v>
          </cell>
          <cell r="AK325" t="e">
            <v>#VALUE!</v>
          </cell>
        </row>
        <row r="326">
          <cell r="AH326" t="e">
            <v>#VALUE!</v>
          </cell>
          <cell r="AI326" t="e">
            <v>#VALUE!</v>
          </cell>
          <cell r="AJ326" t="e">
            <v>#VALUE!</v>
          </cell>
          <cell r="AK326" t="e">
            <v>#VALUE!</v>
          </cell>
        </row>
        <row r="327">
          <cell r="AH327" t="e">
            <v>#VALUE!</v>
          </cell>
          <cell r="AI327" t="e">
            <v>#VALUE!</v>
          </cell>
          <cell r="AJ327" t="e">
            <v>#VALUE!</v>
          </cell>
          <cell r="AK327" t="e">
            <v>#VALUE!</v>
          </cell>
        </row>
        <row r="328">
          <cell r="AH328" t="e">
            <v>#VALUE!</v>
          </cell>
          <cell r="AI328" t="e">
            <v>#VALUE!</v>
          </cell>
          <cell r="AJ328" t="e">
            <v>#VALUE!</v>
          </cell>
          <cell r="AK328" t="e">
            <v>#VALUE!</v>
          </cell>
        </row>
        <row r="329">
          <cell r="AH329" t="e">
            <v>#VALUE!</v>
          </cell>
          <cell r="AI329" t="e">
            <v>#VALUE!</v>
          </cell>
          <cell r="AJ329" t="e">
            <v>#VALUE!</v>
          </cell>
          <cell r="AK329" t="e">
            <v>#VALUE!</v>
          </cell>
        </row>
        <row r="330">
          <cell r="AH330" t="e">
            <v>#VALUE!</v>
          </cell>
          <cell r="AI330" t="e">
            <v>#VALUE!</v>
          </cell>
          <cell r="AJ330" t="e">
            <v>#VALUE!</v>
          </cell>
          <cell r="AK330" t="e">
            <v>#VALUE!</v>
          </cell>
        </row>
        <row r="331">
          <cell r="AH331" t="e">
            <v>#VALUE!</v>
          </cell>
          <cell r="AI331" t="e">
            <v>#VALUE!</v>
          </cell>
          <cell r="AJ331" t="e">
            <v>#VALUE!</v>
          </cell>
          <cell r="AK331" t="e">
            <v>#VALUE!</v>
          </cell>
        </row>
        <row r="332">
          <cell r="AH332" t="e">
            <v>#VALUE!</v>
          </cell>
          <cell r="AI332" t="e">
            <v>#VALUE!</v>
          </cell>
          <cell r="AJ332" t="e">
            <v>#VALUE!</v>
          </cell>
          <cell r="AK332" t="e">
            <v>#VALUE!</v>
          </cell>
        </row>
        <row r="333">
          <cell r="AH333" t="e">
            <v>#VALUE!</v>
          </cell>
          <cell r="AI333" t="e">
            <v>#VALUE!</v>
          </cell>
          <cell r="AJ333" t="e">
            <v>#VALUE!</v>
          </cell>
          <cell r="AK333" t="e">
            <v>#VALUE!</v>
          </cell>
        </row>
        <row r="334">
          <cell r="AH334" t="e">
            <v>#VALUE!</v>
          </cell>
          <cell r="AI334" t="e">
            <v>#VALUE!</v>
          </cell>
          <cell r="AJ334" t="e">
            <v>#VALUE!</v>
          </cell>
          <cell r="AK334" t="e">
            <v>#VALUE!</v>
          </cell>
        </row>
        <row r="335">
          <cell r="AH335" t="e">
            <v>#VALUE!</v>
          </cell>
          <cell r="AI335" t="e">
            <v>#VALUE!</v>
          </cell>
          <cell r="AJ335" t="e">
            <v>#VALUE!</v>
          </cell>
          <cell r="AK335" t="e">
            <v>#VALUE!</v>
          </cell>
        </row>
        <row r="336">
          <cell r="AH336" t="e">
            <v>#VALUE!</v>
          </cell>
          <cell r="AI336" t="e">
            <v>#VALUE!</v>
          </cell>
          <cell r="AJ336" t="e">
            <v>#VALUE!</v>
          </cell>
          <cell r="AK336" t="e">
            <v>#VALUE!</v>
          </cell>
        </row>
        <row r="337">
          <cell r="AH337" t="e">
            <v>#VALUE!</v>
          </cell>
          <cell r="AI337" t="e">
            <v>#VALUE!</v>
          </cell>
          <cell r="AJ337" t="e">
            <v>#VALUE!</v>
          </cell>
          <cell r="AK337" t="e">
            <v>#VALUE!</v>
          </cell>
        </row>
        <row r="338">
          <cell r="AH338" t="e">
            <v>#VALUE!</v>
          </cell>
          <cell r="AI338" t="e">
            <v>#VALUE!</v>
          </cell>
          <cell r="AJ338" t="e">
            <v>#VALUE!</v>
          </cell>
          <cell r="AK338" t="e">
            <v>#VALUE!</v>
          </cell>
        </row>
        <row r="339">
          <cell r="AH339" t="e">
            <v>#VALUE!</v>
          </cell>
          <cell r="AI339" t="e">
            <v>#VALUE!</v>
          </cell>
          <cell r="AJ339" t="e">
            <v>#VALUE!</v>
          </cell>
          <cell r="AK339" t="e">
            <v>#VALUE!</v>
          </cell>
        </row>
        <row r="340">
          <cell r="AH340" t="e">
            <v>#VALUE!</v>
          </cell>
          <cell r="AI340" t="e">
            <v>#VALUE!</v>
          </cell>
          <cell r="AJ340" t="e">
            <v>#VALUE!</v>
          </cell>
          <cell r="AK340" t="e">
            <v>#VALUE!</v>
          </cell>
        </row>
        <row r="341">
          <cell r="AH341" t="e">
            <v>#VALUE!</v>
          </cell>
          <cell r="AI341" t="e">
            <v>#VALUE!</v>
          </cell>
          <cell r="AJ341" t="e">
            <v>#VALUE!</v>
          </cell>
          <cell r="AK341" t="e">
            <v>#VALUE!</v>
          </cell>
        </row>
        <row r="342">
          <cell r="AH342" t="e">
            <v>#VALUE!</v>
          </cell>
          <cell r="AI342" t="e">
            <v>#VALUE!</v>
          </cell>
          <cell r="AJ342" t="e">
            <v>#VALUE!</v>
          </cell>
          <cell r="AK342" t="e">
            <v>#VALUE!</v>
          </cell>
        </row>
        <row r="343">
          <cell r="AH343" t="e">
            <v>#VALUE!</v>
          </cell>
          <cell r="AI343" t="e">
            <v>#VALUE!</v>
          </cell>
          <cell r="AJ343" t="e">
            <v>#VALUE!</v>
          </cell>
          <cell r="AK343" t="e">
            <v>#VALUE!</v>
          </cell>
        </row>
        <row r="344">
          <cell r="AH344" t="e">
            <v>#VALUE!</v>
          </cell>
          <cell r="AI344" t="e">
            <v>#VALUE!</v>
          </cell>
          <cell r="AJ344" t="e">
            <v>#VALUE!</v>
          </cell>
          <cell r="AK344" t="e">
            <v>#VALUE!</v>
          </cell>
        </row>
        <row r="345">
          <cell r="AH345" t="e">
            <v>#VALUE!</v>
          </cell>
          <cell r="AI345" t="e">
            <v>#VALUE!</v>
          </cell>
          <cell r="AJ345" t="e">
            <v>#VALUE!</v>
          </cell>
          <cell r="AK345" t="e">
            <v>#VALUE!</v>
          </cell>
        </row>
        <row r="346">
          <cell r="AH346" t="e">
            <v>#VALUE!</v>
          </cell>
          <cell r="AI346" t="e">
            <v>#VALUE!</v>
          </cell>
          <cell r="AJ346" t="e">
            <v>#VALUE!</v>
          </cell>
          <cell r="AK346" t="e">
            <v>#VALUE!</v>
          </cell>
        </row>
        <row r="347">
          <cell r="AH347" t="e">
            <v>#VALUE!</v>
          </cell>
          <cell r="AI347" t="e">
            <v>#VALUE!</v>
          </cell>
          <cell r="AJ347" t="e">
            <v>#VALUE!</v>
          </cell>
          <cell r="AK347" t="e">
            <v>#VALUE!</v>
          </cell>
        </row>
        <row r="348">
          <cell r="AH348" t="e">
            <v>#VALUE!</v>
          </cell>
          <cell r="AI348" t="e">
            <v>#VALUE!</v>
          </cell>
          <cell r="AJ348" t="e">
            <v>#VALUE!</v>
          </cell>
          <cell r="AK348" t="e">
            <v>#VALUE!</v>
          </cell>
        </row>
        <row r="349">
          <cell r="AH349" t="e">
            <v>#VALUE!</v>
          </cell>
          <cell r="AI349" t="e">
            <v>#VALUE!</v>
          </cell>
          <cell r="AJ349" t="e">
            <v>#VALUE!</v>
          </cell>
          <cell r="AK349" t="e">
            <v>#VALUE!</v>
          </cell>
        </row>
        <row r="350">
          <cell r="AH350" t="e">
            <v>#VALUE!</v>
          </cell>
          <cell r="AI350" t="e">
            <v>#VALUE!</v>
          </cell>
          <cell r="AJ350" t="e">
            <v>#VALUE!</v>
          </cell>
          <cell r="AK350" t="e">
            <v>#VALUE!</v>
          </cell>
        </row>
        <row r="351">
          <cell r="AH351" t="e">
            <v>#VALUE!</v>
          </cell>
          <cell r="AI351" t="e">
            <v>#VALUE!</v>
          </cell>
          <cell r="AJ351" t="e">
            <v>#VALUE!</v>
          </cell>
          <cell r="AK351" t="e">
            <v>#VALUE!</v>
          </cell>
        </row>
        <row r="352">
          <cell r="AH352" t="e">
            <v>#VALUE!</v>
          </cell>
          <cell r="AI352" t="e">
            <v>#VALUE!</v>
          </cell>
          <cell r="AJ352" t="e">
            <v>#VALUE!</v>
          </cell>
          <cell r="AK352" t="e">
            <v>#VALUE!</v>
          </cell>
        </row>
        <row r="353">
          <cell r="AH353" t="e">
            <v>#VALUE!</v>
          </cell>
          <cell r="AI353" t="e">
            <v>#VALUE!</v>
          </cell>
          <cell r="AJ353" t="e">
            <v>#VALUE!</v>
          </cell>
          <cell r="AK353" t="e">
            <v>#VALUE!</v>
          </cell>
        </row>
        <row r="354">
          <cell r="AH354" t="e">
            <v>#VALUE!</v>
          </cell>
          <cell r="AI354" t="e">
            <v>#VALUE!</v>
          </cell>
          <cell r="AJ354" t="e">
            <v>#VALUE!</v>
          </cell>
          <cell r="AK354" t="e">
            <v>#VALUE!</v>
          </cell>
        </row>
        <row r="355">
          <cell r="AH355" t="e">
            <v>#VALUE!</v>
          </cell>
          <cell r="AI355" t="e">
            <v>#VALUE!</v>
          </cell>
          <cell r="AJ355" t="e">
            <v>#VALUE!</v>
          </cell>
          <cell r="AK355" t="e">
            <v>#VALUE!</v>
          </cell>
        </row>
        <row r="356">
          <cell r="AH356" t="e">
            <v>#VALUE!</v>
          </cell>
          <cell r="AI356" t="e">
            <v>#VALUE!</v>
          </cell>
          <cell r="AJ356" t="e">
            <v>#VALUE!</v>
          </cell>
          <cell r="AK356" t="e">
            <v>#VALUE!</v>
          </cell>
        </row>
        <row r="357">
          <cell r="AH357" t="e">
            <v>#VALUE!</v>
          </cell>
          <cell r="AI357" t="e">
            <v>#VALUE!</v>
          </cell>
          <cell r="AJ357" t="e">
            <v>#VALUE!</v>
          </cell>
          <cell r="AK357" t="e">
            <v>#VALUE!</v>
          </cell>
        </row>
        <row r="358">
          <cell r="AH358" t="e">
            <v>#VALUE!</v>
          </cell>
          <cell r="AI358" t="e">
            <v>#VALUE!</v>
          </cell>
          <cell r="AJ358" t="e">
            <v>#VALUE!</v>
          </cell>
          <cell r="AK358" t="e">
            <v>#VALUE!</v>
          </cell>
        </row>
        <row r="359">
          <cell r="AH359" t="e">
            <v>#VALUE!</v>
          </cell>
          <cell r="AI359" t="e">
            <v>#VALUE!</v>
          </cell>
          <cell r="AJ359" t="e">
            <v>#VALUE!</v>
          </cell>
          <cell r="AK359" t="e">
            <v>#VALUE!</v>
          </cell>
        </row>
        <row r="360">
          <cell r="AH360" t="e">
            <v>#VALUE!</v>
          </cell>
          <cell r="AI360" t="e">
            <v>#VALUE!</v>
          </cell>
          <cell r="AJ360" t="e">
            <v>#VALUE!</v>
          </cell>
          <cell r="AK360" t="e">
            <v>#VALUE!</v>
          </cell>
        </row>
        <row r="361">
          <cell r="AH361" t="e">
            <v>#VALUE!</v>
          </cell>
          <cell r="AI361" t="e">
            <v>#VALUE!</v>
          </cell>
          <cell r="AJ361" t="e">
            <v>#VALUE!</v>
          </cell>
          <cell r="AK361" t="e">
            <v>#VALUE!</v>
          </cell>
        </row>
        <row r="362">
          <cell r="AH362" t="e">
            <v>#VALUE!</v>
          </cell>
          <cell r="AI362" t="e">
            <v>#VALUE!</v>
          </cell>
          <cell r="AJ362" t="e">
            <v>#VALUE!</v>
          </cell>
          <cell r="AK362" t="e">
            <v>#VALUE!</v>
          </cell>
        </row>
        <row r="363">
          <cell r="AH363" t="e">
            <v>#VALUE!</v>
          </cell>
          <cell r="AI363" t="e">
            <v>#VALUE!</v>
          </cell>
          <cell r="AJ363" t="e">
            <v>#VALUE!</v>
          </cell>
          <cell r="AK363" t="e">
            <v>#VALUE!</v>
          </cell>
        </row>
        <row r="364">
          <cell r="AH364" t="e">
            <v>#VALUE!</v>
          </cell>
          <cell r="AI364" t="e">
            <v>#VALUE!</v>
          </cell>
          <cell r="AJ364" t="e">
            <v>#VALUE!</v>
          </cell>
          <cell r="AK364" t="e">
            <v>#VALUE!</v>
          </cell>
        </row>
        <row r="365">
          <cell r="AH365" t="e">
            <v>#VALUE!</v>
          </cell>
          <cell r="AI365" t="e">
            <v>#VALUE!</v>
          </cell>
          <cell r="AJ365" t="e">
            <v>#VALUE!</v>
          </cell>
          <cell r="AK365" t="e">
            <v>#VALUE!</v>
          </cell>
        </row>
        <row r="366">
          <cell r="AH366" t="e">
            <v>#VALUE!</v>
          </cell>
          <cell r="AI366" t="e">
            <v>#VALUE!</v>
          </cell>
          <cell r="AJ366" t="e">
            <v>#VALUE!</v>
          </cell>
          <cell r="AK366" t="e">
            <v>#VALUE!</v>
          </cell>
        </row>
        <row r="367">
          <cell r="AH367" t="e">
            <v>#VALUE!</v>
          </cell>
          <cell r="AI367" t="e">
            <v>#VALUE!</v>
          </cell>
          <cell r="AJ367" t="e">
            <v>#VALUE!</v>
          </cell>
          <cell r="AK367" t="e">
            <v>#VALUE!</v>
          </cell>
        </row>
        <row r="368">
          <cell r="AH368" t="e">
            <v>#VALUE!</v>
          </cell>
          <cell r="AI368" t="e">
            <v>#VALUE!</v>
          </cell>
          <cell r="AJ368" t="e">
            <v>#VALUE!</v>
          </cell>
          <cell r="AK368" t="e">
            <v>#VALUE!</v>
          </cell>
        </row>
        <row r="369">
          <cell r="AH369" t="e">
            <v>#VALUE!</v>
          </cell>
          <cell r="AI369" t="e">
            <v>#VALUE!</v>
          </cell>
          <cell r="AJ369" t="e">
            <v>#VALUE!</v>
          </cell>
          <cell r="AK369" t="e">
            <v>#VALUE!</v>
          </cell>
        </row>
        <row r="370">
          <cell r="AH370" t="e">
            <v>#VALUE!</v>
          </cell>
          <cell r="AI370" t="e">
            <v>#VALUE!</v>
          </cell>
          <cell r="AJ370" t="e">
            <v>#VALUE!</v>
          </cell>
          <cell r="AK370" t="e">
            <v>#VALUE!</v>
          </cell>
        </row>
        <row r="371">
          <cell r="AH371" t="e">
            <v>#VALUE!</v>
          </cell>
          <cell r="AI371" t="e">
            <v>#VALUE!</v>
          </cell>
          <cell r="AJ371" t="e">
            <v>#VALUE!</v>
          </cell>
          <cell r="AK371" t="e">
            <v>#VALUE!</v>
          </cell>
        </row>
        <row r="372">
          <cell r="AH372" t="e">
            <v>#VALUE!</v>
          </cell>
          <cell r="AI372" t="e">
            <v>#VALUE!</v>
          </cell>
          <cell r="AJ372" t="e">
            <v>#VALUE!</v>
          </cell>
          <cell r="AK372" t="e">
            <v>#VALUE!</v>
          </cell>
        </row>
        <row r="373">
          <cell r="AH373" t="e">
            <v>#VALUE!</v>
          </cell>
          <cell r="AI373" t="e">
            <v>#VALUE!</v>
          </cell>
          <cell r="AJ373" t="e">
            <v>#VALUE!</v>
          </cell>
          <cell r="AK373" t="e">
            <v>#VALUE!</v>
          </cell>
        </row>
        <row r="374">
          <cell r="AH374" t="e">
            <v>#VALUE!</v>
          </cell>
          <cell r="AI374" t="e">
            <v>#VALUE!</v>
          </cell>
          <cell r="AJ374" t="e">
            <v>#VALUE!</v>
          </cell>
          <cell r="AK374" t="e">
            <v>#VALUE!</v>
          </cell>
        </row>
        <row r="375">
          <cell r="AH375" t="e">
            <v>#VALUE!</v>
          </cell>
          <cell r="AI375" t="e">
            <v>#VALUE!</v>
          </cell>
          <cell r="AJ375" t="e">
            <v>#VALUE!</v>
          </cell>
          <cell r="AK375" t="e">
            <v>#VALUE!</v>
          </cell>
        </row>
        <row r="376">
          <cell r="AH376" t="e">
            <v>#VALUE!</v>
          </cell>
          <cell r="AI376" t="e">
            <v>#VALUE!</v>
          </cell>
          <cell r="AJ376" t="e">
            <v>#VALUE!</v>
          </cell>
          <cell r="AK376" t="e">
            <v>#VALUE!</v>
          </cell>
        </row>
        <row r="377">
          <cell r="AH377" t="e">
            <v>#VALUE!</v>
          </cell>
          <cell r="AI377" t="e">
            <v>#VALUE!</v>
          </cell>
          <cell r="AJ377" t="e">
            <v>#VALUE!</v>
          </cell>
          <cell r="AK377" t="e">
            <v>#VALUE!</v>
          </cell>
        </row>
        <row r="378">
          <cell r="AH378" t="e">
            <v>#VALUE!</v>
          </cell>
          <cell r="AI378" t="e">
            <v>#VALUE!</v>
          </cell>
          <cell r="AJ378" t="e">
            <v>#VALUE!</v>
          </cell>
          <cell r="AK378" t="e">
            <v>#VALUE!</v>
          </cell>
        </row>
        <row r="379">
          <cell r="AH379" t="e">
            <v>#VALUE!</v>
          </cell>
          <cell r="AI379" t="e">
            <v>#VALUE!</v>
          </cell>
          <cell r="AJ379" t="e">
            <v>#VALUE!</v>
          </cell>
          <cell r="AK379" t="e">
            <v>#VALUE!</v>
          </cell>
        </row>
        <row r="380">
          <cell r="AH380" t="e">
            <v>#VALUE!</v>
          </cell>
          <cell r="AI380" t="e">
            <v>#VALUE!</v>
          </cell>
          <cell r="AJ380" t="e">
            <v>#VALUE!</v>
          </cell>
          <cell r="AK380" t="e">
            <v>#VALUE!</v>
          </cell>
        </row>
        <row r="381">
          <cell r="AH381" t="e">
            <v>#VALUE!</v>
          </cell>
          <cell r="AI381" t="e">
            <v>#VALUE!</v>
          </cell>
          <cell r="AJ381" t="e">
            <v>#VALUE!</v>
          </cell>
          <cell r="AK381" t="e">
            <v>#VALUE!</v>
          </cell>
        </row>
        <row r="382">
          <cell r="AH382" t="e">
            <v>#VALUE!</v>
          </cell>
          <cell r="AI382" t="e">
            <v>#VALUE!</v>
          </cell>
          <cell r="AJ382" t="e">
            <v>#VALUE!</v>
          </cell>
          <cell r="AK382" t="e">
            <v>#VALUE!</v>
          </cell>
        </row>
        <row r="383">
          <cell r="AH383" t="e">
            <v>#VALUE!</v>
          </cell>
          <cell r="AI383" t="e">
            <v>#VALUE!</v>
          </cell>
          <cell r="AJ383" t="e">
            <v>#VALUE!</v>
          </cell>
          <cell r="AK383" t="e">
            <v>#VALUE!</v>
          </cell>
        </row>
        <row r="384">
          <cell r="AH384" t="e">
            <v>#VALUE!</v>
          </cell>
          <cell r="AI384" t="e">
            <v>#VALUE!</v>
          </cell>
          <cell r="AJ384" t="e">
            <v>#VALUE!</v>
          </cell>
          <cell r="AK384" t="e">
            <v>#VALUE!</v>
          </cell>
        </row>
        <row r="385">
          <cell r="AH385" t="e">
            <v>#VALUE!</v>
          </cell>
          <cell r="AI385" t="e">
            <v>#VALUE!</v>
          </cell>
          <cell r="AJ385" t="e">
            <v>#VALUE!</v>
          </cell>
          <cell r="AK385" t="e">
            <v>#VALUE!</v>
          </cell>
        </row>
        <row r="386">
          <cell r="AH386" t="e">
            <v>#VALUE!</v>
          </cell>
          <cell r="AI386" t="e">
            <v>#VALUE!</v>
          </cell>
          <cell r="AJ386" t="e">
            <v>#VALUE!</v>
          </cell>
          <cell r="AK386" t="e">
            <v>#VALUE!</v>
          </cell>
        </row>
        <row r="387">
          <cell r="AH387" t="e">
            <v>#VALUE!</v>
          </cell>
          <cell r="AI387" t="e">
            <v>#VALUE!</v>
          </cell>
          <cell r="AJ387" t="e">
            <v>#VALUE!</v>
          </cell>
          <cell r="AK387" t="e">
            <v>#VALUE!</v>
          </cell>
        </row>
        <row r="388">
          <cell r="AH388" t="e">
            <v>#VALUE!</v>
          </cell>
          <cell r="AI388" t="e">
            <v>#VALUE!</v>
          </cell>
          <cell r="AJ388" t="e">
            <v>#VALUE!</v>
          </cell>
          <cell r="AK388" t="e">
            <v>#VALUE!</v>
          </cell>
        </row>
        <row r="389">
          <cell r="AH389" t="e">
            <v>#VALUE!</v>
          </cell>
          <cell r="AI389" t="e">
            <v>#VALUE!</v>
          </cell>
          <cell r="AJ389" t="e">
            <v>#VALUE!</v>
          </cell>
          <cell r="AK389" t="e">
            <v>#VALUE!</v>
          </cell>
        </row>
        <row r="390">
          <cell r="AH390" t="e">
            <v>#VALUE!</v>
          </cell>
          <cell r="AI390" t="e">
            <v>#VALUE!</v>
          </cell>
          <cell r="AJ390" t="e">
            <v>#VALUE!</v>
          </cell>
          <cell r="AK390" t="e">
            <v>#VALUE!</v>
          </cell>
        </row>
        <row r="391">
          <cell r="AH391" t="e">
            <v>#VALUE!</v>
          </cell>
          <cell r="AI391" t="e">
            <v>#VALUE!</v>
          </cell>
          <cell r="AJ391" t="e">
            <v>#VALUE!</v>
          </cell>
          <cell r="AK391" t="e">
            <v>#VALUE!</v>
          </cell>
        </row>
        <row r="392">
          <cell r="AH392" t="e">
            <v>#VALUE!</v>
          </cell>
          <cell r="AI392" t="e">
            <v>#VALUE!</v>
          </cell>
          <cell r="AJ392" t="e">
            <v>#VALUE!</v>
          </cell>
          <cell r="AK392" t="e">
            <v>#VALUE!</v>
          </cell>
        </row>
        <row r="393">
          <cell r="AH393" t="e">
            <v>#VALUE!</v>
          </cell>
          <cell r="AI393" t="e">
            <v>#VALUE!</v>
          </cell>
          <cell r="AJ393" t="e">
            <v>#VALUE!</v>
          </cell>
          <cell r="AK393" t="e">
            <v>#VALUE!</v>
          </cell>
        </row>
        <row r="394">
          <cell r="AH394" t="e">
            <v>#VALUE!</v>
          </cell>
          <cell r="AI394" t="e">
            <v>#VALUE!</v>
          </cell>
          <cell r="AJ394" t="e">
            <v>#VALUE!</v>
          </cell>
          <cell r="AK394" t="e">
            <v>#VALUE!</v>
          </cell>
        </row>
        <row r="395">
          <cell r="AH395" t="e">
            <v>#VALUE!</v>
          </cell>
          <cell r="AI395" t="e">
            <v>#VALUE!</v>
          </cell>
          <cell r="AJ395" t="e">
            <v>#VALUE!</v>
          </cell>
          <cell r="AK395" t="e">
            <v>#VALUE!</v>
          </cell>
        </row>
        <row r="396">
          <cell r="AH396" t="e">
            <v>#VALUE!</v>
          </cell>
          <cell r="AI396" t="e">
            <v>#VALUE!</v>
          </cell>
          <cell r="AJ396" t="e">
            <v>#VALUE!</v>
          </cell>
          <cell r="AK396" t="e">
            <v>#VALUE!</v>
          </cell>
        </row>
        <row r="397">
          <cell r="AH397" t="e">
            <v>#VALUE!</v>
          </cell>
          <cell r="AI397" t="e">
            <v>#VALUE!</v>
          </cell>
          <cell r="AJ397" t="e">
            <v>#VALUE!</v>
          </cell>
          <cell r="AK397" t="e">
            <v>#VALUE!</v>
          </cell>
        </row>
        <row r="398">
          <cell r="AH398" t="e">
            <v>#VALUE!</v>
          </cell>
          <cell r="AI398" t="e">
            <v>#VALUE!</v>
          </cell>
          <cell r="AJ398" t="e">
            <v>#VALUE!</v>
          </cell>
          <cell r="AK398" t="e">
            <v>#VALUE!</v>
          </cell>
        </row>
        <row r="399">
          <cell r="AH399" t="e">
            <v>#VALUE!</v>
          </cell>
          <cell r="AI399" t="e">
            <v>#VALUE!</v>
          </cell>
          <cell r="AJ399" t="e">
            <v>#VALUE!</v>
          </cell>
          <cell r="AK399" t="e">
            <v>#VALUE!</v>
          </cell>
        </row>
        <row r="400">
          <cell r="AH400" t="e">
            <v>#VALUE!</v>
          </cell>
          <cell r="AI400" t="e">
            <v>#VALUE!</v>
          </cell>
          <cell r="AJ400" t="e">
            <v>#VALUE!</v>
          </cell>
          <cell r="AK400" t="e">
            <v>#VALUE!</v>
          </cell>
        </row>
        <row r="401">
          <cell r="AH401" t="e">
            <v>#VALUE!</v>
          </cell>
          <cell r="AI401" t="e">
            <v>#VALUE!</v>
          </cell>
          <cell r="AJ401" t="e">
            <v>#VALUE!</v>
          </cell>
          <cell r="AK401" t="e">
            <v>#VALUE!</v>
          </cell>
        </row>
        <row r="402">
          <cell r="AH402" t="e">
            <v>#VALUE!</v>
          </cell>
          <cell r="AI402" t="e">
            <v>#VALUE!</v>
          </cell>
          <cell r="AJ402" t="e">
            <v>#VALUE!</v>
          </cell>
          <cell r="AK402" t="e">
            <v>#VALUE!</v>
          </cell>
        </row>
        <row r="403">
          <cell r="AH403" t="e">
            <v>#VALUE!</v>
          </cell>
          <cell r="AI403" t="e">
            <v>#VALUE!</v>
          </cell>
          <cell r="AJ403" t="e">
            <v>#VALUE!</v>
          </cell>
          <cell r="AK403" t="e">
            <v>#VALUE!</v>
          </cell>
        </row>
        <row r="404">
          <cell r="AH404" t="e">
            <v>#VALUE!</v>
          </cell>
          <cell r="AI404" t="e">
            <v>#VALUE!</v>
          </cell>
          <cell r="AJ404" t="e">
            <v>#VALUE!</v>
          </cell>
          <cell r="AK404" t="e">
            <v>#VALUE!</v>
          </cell>
        </row>
        <row r="405">
          <cell r="AH405" t="e">
            <v>#VALUE!</v>
          </cell>
          <cell r="AI405" t="e">
            <v>#VALUE!</v>
          </cell>
          <cell r="AJ405" t="e">
            <v>#VALUE!</v>
          </cell>
          <cell r="AK405" t="e">
            <v>#VALUE!</v>
          </cell>
        </row>
        <row r="406">
          <cell r="AH406" t="e">
            <v>#VALUE!</v>
          </cell>
          <cell r="AI406" t="e">
            <v>#VALUE!</v>
          </cell>
          <cell r="AJ406" t="e">
            <v>#VALUE!</v>
          </cell>
          <cell r="AK406" t="e">
            <v>#VALUE!</v>
          </cell>
        </row>
        <row r="407">
          <cell r="AH407" t="e">
            <v>#VALUE!</v>
          </cell>
          <cell r="AI407" t="e">
            <v>#VALUE!</v>
          </cell>
          <cell r="AJ407" t="e">
            <v>#VALUE!</v>
          </cell>
          <cell r="AK407" t="e">
            <v>#VALUE!</v>
          </cell>
        </row>
        <row r="408">
          <cell r="AH408" t="e">
            <v>#VALUE!</v>
          </cell>
          <cell r="AI408" t="e">
            <v>#VALUE!</v>
          </cell>
          <cell r="AJ408" t="e">
            <v>#VALUE!</v>
          </cell>
          <cell r="AK408" t="e">
            <v>#VALUE!</v>
          </cell>
        </row>
        <row r="409">
          <cell r="AH409" t="e">
            <v>#VALUE!</v>
          </cell>
          <cell r="AI409" t="e">
            <v>#VALUE!</v>
          </cell>
          <cell r="AJ409" t="e">
            <v>#VALUE!</v>
          </cell>
          <cell r="AK409" t="e">
            <v>#VALUE!</v>
          </cell>
        </row>
        <row r="410">
          <cell r="AH410" t="e">
            <v>#VALUE!</v>
          </cell>
          <cell r="AI410" t="e">
            <v>#VALUE!</v>
          </cell>
          <cell r="AJ410" t="e">
            <v>#VALUE!</v>
          </cell>
          <cell r="AK410" t="e">
            <v>#VALUE!</v>
          </cell>
        </row>
        <row r="411">
          <cell r="AH411" t="e">
            <v>#VALUE!</v>
          </cell>
          <cell r="AI411" t="e">
            <v>#VALUE!</v>
          </cell>
          <cell r="AJ411" t="e">
            <v>#VALUE!</v>
          </cell>
          <cell r="AK411" t="e">
            <v>#VALUE!</v>
          </cell>
        </row>
        <row r="412">
          <cell r="AH412" t="e">
            <v>#VALUE!</v>
          </cell>
          <cell r="AI412" t="e">
            <v>#VALUE!</v>
          </cell>
          <cell r="AJ412" t="e">
            <v>#VALUE!</v>
          </cell>
          <cell r="AK412" t="e">
            <v>#VALUE!</v>
          </cell>
        </row>
        <row r="413">
          <cell r="AH413" t="e">
            <v>#VALUE!</v>
          </cell>
          <cell r="AI413" t="e">
            <v>#VALUE!</v>
          </cell>
          <cell r="AJ413" t="e">
            <v>#VALUE!</v>
          </cell>
          <cell r="AK413" t="e">
            <v>#VALUE!</v>
          </cell>
        </row>
        <row r="414">
          <cell r="AH414" t="e">
            <v>#VALUE!</v>
          </cell>
          <cell r="AI414" t="e">
            <v>#VALUE!</v>
          </cell>
          <cell r="AJ414" t="e">
            <v>#VALUE!</v>
          </cell>
          <cell r="AK414" t="e">
            <v>#VALUE!</v>
          </cell>
        </row>
        <row r="415">
          <cell r="AH415" t="e">
            <v>#VALUE!</v>
          </cell>
          <cell r="AI415" t="e">
            <v>#VALUE!</v>
          </cell>
          <cell r="AJ415" t="e">
            <v>#VALUE!</v>
          </cell>
          <cell r="AK415" t="e">
            <v>#VALUE!</v>
          </cell>
        </row>
        <row r="416">
          <cell r="AH416" t="e">
            <v>#VALUE!</v>
          </cell>
          <cell r="AI416" t="e">
            <v>#VALUE!</v>
          </cell>
          <cell r="AJ416" t="e">
            <v>#VALUE!</v>
          </cell>
          <cell r="AK416" t="e">
            <v>#VALUE!</v>
          </cell>
        </row>
        <row r="417">
          <cell r="AH417" t="e">
            <v>#VALUE!</v>
          </cell>
          <cell r="AI417" t="e">
            <v>#VALUE!</v>
          </cell>
          <cell r="AJ417" t="e">
            <v>#VALUE!</v>
          </cell>
          <cell r="AK417" t="e">
            <v>#VALUE!</v>
          </cell>
        </row>
        <row r="418">
          <cell r="AH418" t="e">
            <v>#VALUE!</v>
          </cell>
          <cell r="AI418" t="e">
            <v>#VALUE!</v>
          </cell>
          <cell r="AJ418" t="e">
            <v>#VALUE!</v>
          </cell>
          <cell r="AK418" t="e">
            <v>#VALUE!</v>
          </cell>
        </row>
        <row r="419">
          <cell r="AH419" t="e">
            <v>#VALUE!</v>
          </cell>
          <cell r="AI419" t="e">
            <v>#VALUE!</v>
          </cell>
          <cell r="AJ419" t="e">
            <v>#VALUE!</v>
          </cell>
          <cell r="AK419" t="e">
            <v>#VALUE!</v>
          </cell>
        </row>
        <row r="420">
          <cell r="AH420" t="e">
            <v>#VALUE!</v>
          </cell>
          <cell r="AI420" t="e">
            <v>#VALUE!</v>
          </cell>
          <cell r="AJ420" t="e">
            <v>#VALUE!</v>
          </cell>
          <cell r="AK420" t="e">
            <v>#VALUE!</v>
          </cell>
        </row>
        <row r="421">
          <cell r="AH421" t="e">
            <v>#VALUE!</v>
          </cell>
          <cell r="AI421" t="e">
            <v>#VALUE!</v>
          </cell>
          <cell r="AJ421" t="e">
            <v>#VALUE!</v>
          </cell>
          <cell r="AK421" t="e">
            <v>#VALUE!</v>
          </cell>
        </row>
        <row r="422">
          <cell r="AH422" t="e">
            <v>#VALUE!</v>
          </cell>
          <cell r="AI422" t="e">
            <v>#VALUE!</v>
          </cell>
          <cell r="AJ422" t="e">
            <v>#VALUE!</v>
          </cell>
          <cell r="AK422" t="e">
            <v>#VALUE!</v>
          </cell>
        </row>
        <row r="423">
          <cell r="AH423" t="e">
            <v>#VALUE!</v>
          </cell>
          <cell r="AI423" t="e">
            <v>#VALUE!</v>
          </cell>
          <cell r="AJ423" t="e">
            <v>#VALUE!</v>
          </cell>
          <cell r="AK423" t="e">
            <v>#VALUE!</v>
          </cell>
        </row>
        <row r="424">
          <cell r="AH424" t="e">
            <v>#VALUE!</v>
          </cell>
          <cell r="AI424" t="e">
            <v>#VALUE!</v>
          </cell>
          <cell r="AJ424" t="e">
            <v>#VALUE!</v>
          </cell>
          <cell r="AK424" t="e">
            <v>#VALUE!</v>
          </cell>
        </row>
        <row r="425">
          <cell r="AH425" t="e">
            <v>#VALUE!</v>
          </cell>
          <cell r="AI425" t="e">
            <v>#VALUE!</v>
          </cell>
          <cell r="AJ425" t="e">
            <v>#VALUE!</v>
          </cell>
          <cell r="AK425" t="e">
            <v>#VALUE!</v>
          </cell>
        </row>
        <row r="426">
          <cell r="AH426" t="e">
            <v>#VALUE!</v>
          </cell>
          <cell r="AI426" t="e">
            <v>#VALUE!</v>
          </cell>
          <cell r="AJ426" t="e">
            <v>#VALUE!</v>
          </cell>
          <cell r="AK426" t="e">
            <v>#VALUE!</v>
          </cell>
        </row>
        <row r="427">
          <cell r="AH427" t="e">
            <v>#VALUE!</v>
          </cell>
          <cell r="AI427" t="e">
            <v>#VALUE!</v>
          </cell>
          <cell r="AJ427" t="e">
            <v>#VALUE!</v>
          </cell>
          <cell r="AK427" t="e">
            <v>#VALUE!</v>
          </cell>
        </row>
        <row r="428">
          <cell r="AH428" t="e">
            <v>#VALUE!</v>
          </cell>
          <cell r="AI428" t="e">
            <v>#VALUE!</v>
          </cell>
          <cell r="AJ428" t="e">
            <v>#VALUE!</v>
          </cell>
          <cell r="AK428" t="e">
            <v>#VALUE!</v>
          </cell>
        </row>
        <row r="429">
          <cell r="AH429" t="e">
            <v>#VALUE!</v>
          </cell>
          <cell r="AI429" t="e">
            <v>#VALUE!</v>
          </cell>
          <cell r="AJ429" t="e">
            <v>#VALUE!</v>
          </cell>
          <cell r="AK429" t="e">
            <v>#VALUE!</v>
          </cell>
        </row>
        <row r="430">
          <cell r="AH430" t="e">
            <v>#VALUE!</v>
          </cell>
          <cell r="AI430" t="e">
            <v>#VALUE!</v>
          </cell>
          <cell r="AJ430" t="e">
            <v>#VALUE!</v>
          </cell>
          <cell r="AK430" t="e">
            <v>#VALUE!</v>
          </cell>
        </row>
        <row r="431">
          <cell r="AH431" t="e">
            <v>#VALUE!</v>
          </cell>
          <cell r="AI431" t="e">
            <v>#VALUE!</v>
          </cell>
          <cell r="AJ431" t="e">
            <v>#VALUE!</v>
          </cell>
          <cell r="AK431" t="e">
            <v>#VALUE!</v>
          </cell>
        </row>
        <row r="432">
          <cell r="AH432" t="e">
            <v>#VALUE!</v>
          </cell>
          <cell r="AI432" t="e">
            <v>#VALUE!</v>
          </cell>
          <cell r="AJ432" t="e">
            <v>#VALUE!</v>
          </cell>
          <cell r="AK432" t="e">
            <v>#VALUE!</v>
          </cell>
        </row>
        <row r="433">
          <cell r="AH433" t="e">
            <v>#VALUE!</v>
          </cell>
          <cell r="AI433" t="e">
            <v>#VALUE!</v>
          </cell>
          <cell r="AJ433" t="e">
            <v>#VALUE!</v>
          </cell>
          <cell r="AK433" t="e">
            <v>#VALUE!</v>
          </cell>
        </row>
        <row r="434">
          <cell r="AH434" t="e">
            <v>#VALUE!</v>
          </cell>
          <cell r="AI434" t="e">
            <v>#VALUE!</v>
          </cell>
          <cell r="AJ434" t="e">
            <v>#VALUE!</v>
          </cell>
          <cell r="AK434" t="e">
            <v>#VALUE!</v>
          </cell>
        </row>
        <row r="435">
          <cell r="AH435" t="e">
            <v>#VALUE!</v>
          </cell>
          <cell r="AI435" t="e">
            <v>#VALUE!</v>
          </cell>
          <cell r="AJ435" t="e">
            <v>#VALUE!</v>
          </cell>
          <cell r="AK435" t="e">
            <v>#VALUE!</v>
          </cell>
        </row>
        <row r="436">
          <cell r="AH436" t="e">
            <v>#VALUE!</v>
          </cell>
          <cell r="AI436" t="e">
            <v>#VALUE!</v>
          </cell>
          <cell r="AJ436" t="e">
            <v>#VALUE!</v>
          </cell>
          <cell r="AK436" t="e">
            <v>#VALUE!</v>
          </cell>
        </row>
        <row r="437">
          <cell r="AH437" t="e">
            <v>#VALUE!</v>
          </cell>
          <cell r="AI437" t="e">
            <v>#VALUE!</v>
          </cell>
          <cell r="AJ437" t="e">
            <v>#VALUE!</v>
          </cell>
          <cell r="AK437" t="e">
            <v>#VALUE!</v>
          </cell>
        </row>
        <row r="438">
          <cell r="AH438" t="e">
            <v>#VALUE!</v>
          </cell>
          <cell r="AI438" t="e">
            <v>#VALUE!</v>
          </cell>
          <cell r="AJ438" t="e">
            <v>#VALUE!</v>
          </cell>
          <cell r="AK438" t="e">
            <v>#VALUE!</v>
          </cell>
        </row>
        <row r="439">
          <cell r="AH439" t="e">
            <v>#VALUE!</v>
          </cell>
          <cell r="AI439" t="e">
            <v>#VALUE!</v>
          </cell>
          <cell r="AJ439" t="e">
            <v>#VALUE!</v>
          </cell>
          <cell r="AK439" t="e">
            <v>#VALUE!</v>
          </cell>
        </row>
        <row r="440">
          <cell r="AH440" t="e">
            <v>#VALUE!</v>
          </cell>
          <cell r="AI440" t="e">
            <v>#VALUE!</v>
          </cell>
          <cell r="AJ440" t="e">
            <v>#VALUE!</v>
          </cell>
          <cell r="AK440" t="e">
            <v>#VALUE!</v>
          </cell>
        </row>
        <row r="441">
          <cell r="AH441" t="e">
            <v>#VALUE!</v>
          </cell>
          <cell r="AI441" t="e">
            <v>#VALUE!</v>
          </cell>
          <cell r="AJ441" t="e">
            <v>#VALUE!</v>
          </cell>
          <cell r="AK441" t="e">
            <v>#VALUE!</v>
          </cell>
        </row>
        <row r="442">
          <cell r="AH442" t="e">
            <v>#VALUE!</v>
          </cell>
          <cell r="AI442" t="e">
            <v>#VALUE!</v>
          </cell>
          <cell r="AJ442" t="e">
            <v>#VALUE!</v>
          </cell>
          <cell r="AK442" t="e">
            <v>#VALUE!</v>
          </cell>
        </row>
        <row r="443">
          <cell r="AH443" t="e">
            <v>#VALUE!</v>
          </cell>
          <cell r="AI443" t="e">
            <v>#VALUE!</v>
          </cell>
          <cell r="AJ443" t="e">
            <v>#VALUE!</v>
          </cell>
          <cell r="AK443" t="e">
            <v>#VALUE!</v>
          </cell>
        </row>
        <row r="444">
          <cell r="AH444" t="e">
            <v>#VALUE!</v>
          </cell>
          <cell r="AI444" t="e">
            <v>#VALUE!</v>
          </cell>
          <cell r="AJ444" t="e">
            <v>#VALUE!</v>
          </cell>
          <cell r="AK444" t="e">
            <v>#VALUE!</v>
          </cell>
        </row>
        <row r="445">
          <cell r="AH445" t="e">
            <v>#VALUE!</v>
          </cell>
          <cell r="AI445" t="e">
            <v>#VALUE!</v>
          </cell>
          <cell r="AJ445" t="e">
            <v>#VALUE!</v>
          </cell>
          <cell r="AK445" t="e">
            <v>#VALUE!</v>
          </cell>
        </row>
        <row r="446">
          <cell r="AH446" t="e">
            <v>#VALUE!</v>
          </cell>
          <cell r="AI446" t="e">
            <v>#VALUE!</v>
          </cell>
          <cell r="AJ446" t="e">
            <v>#VALUE!</v>
          </cell>
          <cell r="AK446" t="e">
            <v>#VALUE!</v>
          </cell>
        </row>
        <row r="447">
          <cell r="AH447" t="e">
            <v>#VALUE!</v>
          </cell>
          <cell r="AI447" t="e">
            <v>#VALUE!</v>
          </cell>
          <cell r="AJ447" t="e">
            <v>#VALUE!</v>
          </cell>
          <cell r="AK447" t="e">
            <v>#VALUE!</v>
          </cell>
        </row>
        <row r="448">
          <cell r="AH448" t="e">
            <v>#VALUE!</v>
          </cell>
          <cell r="AI448" t="e">
            <v>#VALUE!</v>
          </cell>
          <cell r="AJ448" t="e">
            <v>#VALUE!</v>
          </cell>
          <cell r="AK448" t="e">
            <v>#VALUE!</v>
          </cell>
        </row>
        <row r="449">
          <cell r="AH449" t="e">
            <v>#VALUE!</v>
          </cell>
          <cell r="AI449" t="e">
            <v>#VALUE!</v>
          </cell>
          <cell r="AJ449" t="e">
            <v>#VALUE!</v>
          </cell>
          <cell r="AK449" t="e">
            <v>#VALUE!</v>
          </cell>
        </row>
        <row r="450">
          <cell r="AH450" t="e">
            <v>#VALUE!</v>
          </cell>
          <cell r="AI450" t="e">
            <v>#VALUE!</v>
          </cell>
          <cell r="AJ450" t="e">
            <v>#VALUE!</v>
          </cell>
          <cell r="AK450" t="e">
            <v>#VALUE!</v>
          </cell>
        </row>
        <row r="451">
          <cell r="AH451" t="e">
            <v>#VALUE!</v>
          </cell>
          <cell r="AI451" t="e">
            <v>#VALUE!</v>
          </cell>
          <cell r="AJ451" t="e">
            <v>#VALUE!</v>
          </cell>
          <cell r="AK451" t="e">
            <v>#VALUE!</v>
          </cell>
        </row>
        <row r="452">
          <cell r="AH452" t="e">
            <v>#VALUE!</v>
          </cell>
          <cell r="AI452" t="e">
            <v>#VALUE!</v>
          </cell>
          <cell r="AJ452" t="e">
            <v>#VALUE!</v>
          </cell>
          <cell r="AK452" t="e">
            <v>#VALUE!</v>
          </cell>
        </row>
        <row r="453">
          <cell r="AH453" t="e">
            <v>#VALUE!</v>
          </cell>
          <cell r="AI453" t="e">
            <v>#VALUE!</v>
          </cell>
          <cell r="AJ453" t="e">
            <v>#VALUE!</v>
          </cell>
          <cell r="AK453" t="e">
            <v>#VALUE!</v>
          </cell>
        </row>
        <row r="454">
          <cell r="AH454" t="e">
            <v>#VALUE!</v>
          </cell>
          <cell r="AI454" t="e">
            <v>#VALUE!</v>
          </cell>
          <cell r="AJ454" t="e">
            <v>#VALUE!</v>
          </cell>
          <cell r="AK454" t="e">
            <v>#VALUE!</v>
          </cell>
        </row>
        <row r="455">
          <cell r="AH455" t="e">
            <v>#VALUE!</v>
          </cell>
          <cell r="AI455" t="e">
            <v>#VALUE!</v>
          </cell>
          <cell r="AJ455" t="e">
            <v>#VALUE!</v>
          </cell>
          <cell r="AK455" t="e">
            <v>#VALUE!</v>
          </cell>
        </row>
        <row r="456">
          <cell r="AH456" t="e">
            <v>#VALUE!</v>
          </cell>
          <cell r="AI456" t="e">
            <v>#VALUE!</v>
          </cell>
          <cell r="AJ456" t="e">
            <v>#VALUE!</v>
          </cell>
          <cell r="AK456" t="e">
            <v>#VALUE!</v>
          </cell>
        </row>
        <row r="457">
          <cell r="AH457" t="e">
            <v>#VALUE!</v>
          </cell>
          <cell r="AI457" t="e">
            <v>#VALUE!</v>
          </cell>
          <cell r="AJ457" t="e">
            <v>#VALUE!</v>
          </cell>
          <cell r="AK457" t="e">
            <v>#VALUE!</v>
          </cell>
        </row>
        <row r="458">
          <cell r="AH458" t="e">
            <v>#VALUE!</v>
          </cell>
          <cell r="AI458" t="e">
            <v>#VALUE!</v>
          </cell>
          <cell r="AJ458" t="e">
            <v>#VALUE!</v>
          </cell>
          <cell r="AK458" t="e">
            <v>#VALUE!</v>
          </cell>
        </row>
        <row r="459">
          <cell r="AH459" t="e">
            <v>#VALUE!</v>
          </cell>
          <cell r="AI459" t="e">
            <v>#VALUE!</v>
          </cell>
          <cell r="AJ459" t="e">
            <v>#VALUE!</v>
          </cell>
          <cell r="AK459" t="e">
            <v>#VALUE!</v>
          </cell>
        </row>
        <row r="460">
          <cell r="AH460" t="e">
            <v>#VALUE!</v>
          </cell>
          <cell r="AI460" t="e">
            <v>#VALUE!</v>
          </cell>
          <cell r="AJ460" t="e">
            <v>#VALUE!</v>
          </cell>
          <cell r="AK460" t="e">
            <v>#VALUE!</v>
          </cell>
        </row>
        <row r="461">
          <cell r="AH461" t="e">
            <v>#VALUE!</v>
          </cell>
          <cell r="AI461" t="e">
            <v>#VALUE!</v>
          </cell>
          <cell r="AJ461" t="e">
            <v>#VALUE!</v>
          </cell>
          <cell r="AK461" t="e">
            <v>#VALUE!</v>
          </cell>
        </row>
        <row r="462">
          <cell r="AH462" t="e">
            <v>#VALUE!</v>
          </cell>
          <cell r="AI462" t="e">
            <v>#VALUE!</v>
          </cell>
          <cell r="AJ462" t="e">
            <v>#VALUE!</v>
          </cell>
          <cell r="AK462" t="e">
            <v>#VALUE!</v>
          </cell>
        </row>
        <row r="463">
          <cell r="AH463" t="e">
            <v>#VALUE!</v>
          </cell>
          <cell r="AI463" t="e">
            <v>#VALUE!</v>
          </cell>
          <cell r="AJ463" t="e">
            <v>#VALUE!</v>
          </cell>
          <cell r="AK463" t="e">
            <v>#VALUE!</v>
          </cell>
        </row>
        <row r="464">
          <cell r="AH464" t="e">
            <v>#VALUE!</v>
          </cell>
          <cell r="AI464" t="e">
            <v>#VALUE!</v>
          </cell>
          <cell r="AJ464" t="e">
            <v>#VALUE!</v>
          </cell>
          <cell r="AK464" t="e">
            <v>#VALUE!</v>
          </cell>
        </row>
        <row r="465">
          <cell r="AH465" t="e">
            <v>#VALUE!</v>
          </cell>
          <cell r="AI465" t="e">
            <v>#VALUE!</v>
          </cell>
          <cell r="AJ465" t="e">
            <v>#VALUE!</v>
          </cell>
          <cell r="AK465" t="e">
            <v>#VALUE!</v>
          </cell>
        </row>
        <row r="466">
          <cell r="AH466" t="e">
            <v>#VALUE!</v>
          </cell>
          <cell r="AI466" t="e">
            <v>#VALUE!</v>
          </cell>
          <cell r="AJ466" t="e">
            <v>#VALUE!</v>
          </cell>
          <cell r="AK466" t="e">
            <v>#VALUE!</v>
          </cell>
        </row>
        <row r="467">
          <cell r="AH467" t="e">
            <v>#VALUE!</v>
          </cell>
          <cell r="AI467" t="e">
            <v>#VALUE!</v>
          </cell>
          <cell r="AJ467" t="e">
            <v>#VALUE!</v>
          </cell>
          <cell r="AK467" t="e">
            <v>#VALUE!</v>
          </cell>
        </row>
        <row r="468">
          <cell r="AH468" t="e">
            <v>#VALUE!</v>
          </cell>
          <cell r="AI468" t="e">
            <v>#VALUE!</v>
          </cell>
          <cell r="AJ468" t="e">
            <v>#VALUE!</v>
          </cell>
          <cell r="AK468" t="e">
            <v>#VALUE!</v>
          </cell>
        </row>
        <row r="469">
          <cell r="AH469" t="e">
            <v>#VALUE!</v>
          </cell>
          <cell r="AI469" t="e">
            <v>#VALUE!</v>
          </cell>
          <cell r="AJ469" t="e">
            <v>#VALUE!</v>
          </cell>
          <cell r="AK469" t="e">
            <v>#VALUE!</v>
          </cell>
        </row>
        <row r="470">
          <cell r="AH470" t="e">
            <v>#VALUE!</v>
          </cell>
          <cell r="AI470" t="e">
            <v>#VALUE!</v>
          </cell>
          <cell r="AJ470" t="e">
            <v>#VALUE!</v>
          </cell>
          <cell r="AK470" t="e">
            <v>#VALUE!</v>
          </cell>
        </row>
        <row r="471">
          <cell r="AH471" t="e">
            <v>#VALUE!</v>
          </cell>
          <cell r="AI471" t="e">
            <v>#VALUE!</v>
          </cell>
          <cell r="AJ471" t="e">
            <v>#VALUE!</v>
          </cell>
          <cell r="AK471" t="e">
            <v>#VALUE!</v>
          </cell>
        </row>
        <row r="472">
          <cell r="AH472" t="e">
            <v>#VALUE!</v>
          </cell>
          <cell r="AI472" t="e">
            <v>#VALUE!</v>
          </cell>
          <cell r="AJ472" t="e">
            <v>#VALUE!</v>
          </cell>
          <cell r="AK472" t="e">
            <v>#VALUE!</v>
          </cell>
        </row>
        <row r="473">
          <cell r="AH473" t="e">
            <v>#VALUE!</v>
          </cell>
          <cell r="AI473" t="e">
            <v>#VALUE!</v>
          </cell>
          <cell r="AJ473" t="e">
            <v>#VALUE!</v>
          </cell>
          <cell r="AK473" t="e">
            <v>#VALUE!</v>
          </cell>
        </row>
        <row r="474">
          <cell r="AH474" t="e">
            <v>#VALUE!</v>
          </cell>
          <cell r="AI474" t="e">
            <v>#VALUE!</v>
          </cell>
          <cell r="AJ474" t="e">
            <v>#VALUE!</v>
          </cell>
          <cell r="AK474" t="e">
            <v>#VALUE!</v>
          </cell>
        </row>
        <row r="475">
          <cell r="AH475" t="e">
            <v>#VALUE!</v>
          </cell>
          <cell r="AI475" t="e">
            <v>#VALUE!</v>
          </cell>
          <cell r="AJ475" t="e">
            <v>#VALUE!</v>
          </cell>
          <cell r="AK475" t="e">
            <v>#VALUE!</v>
          </cell>
        </row>
        <row r="476">
          <cell r="AH476" t="e">
            <v>#VALUE!</v>
          </cell>
          <cell r="AI476" t="e">
            <v>#VALUE!</v>
          </cell>
          <cell r="AJ476" t="e">
            <v>#VALUE!</v>
          </cell>
          <cell r="AK476" t="e">
            <v>#VALUE!</v>
          </cell>
        </row>
        <row r="477">
          <cell r="AH477" t="e">
            <v>#VALUE!</v>
          </cell>
          <cell r="AI477" t="e">
            <v>#VALUE!</v>
          </cell>
          <cell r="AJ477" t="e">
            <v>#VALUE!</v>
          </cell>
          <cell r="AK477" t="e">
            <v>#VALUE!</v>
          </cell>
        </row>
        <row r="478">
          <cell r="AH478" t="e">
            <v>#VALUE!</v>
          </cell>
          <cell r="AI478" t="e">
            <v>#VALUE!</v>
          </cell>
          <cell r="AJ478" t="e">
            <v>#VALUE!</v>
          </cell>
          <cell r="AK478" t="e">
            <v>#VALUE!</v>
          </cell>
        </row>
        <row r="479">
          <cell r="AH479" t="e">
            <v>#VALUE!</v>
          </cell>
          <cell r="AI479" t="e">
            <v>#VALUE!</v>
          </cell>
          <cell r="AJ479" t="e">
            <v>#VALUE!</v>
          </cell>
          <cell r="AK479" t="e">
            <v>#VALUE!</v>
          </cell>
        </row>
        <row r="480">
          <cell r="AH480" t="e">
            <v>#VALUE!</v>
          </cell>
          <cell r="AI480" t="e">
            <v>#VALUE!</v>
          </cell>
          <cell r="AJ480" t="e">
            <v>#VALUE!</v>
          </cell>
          <cell r="AK480" t="e">
            <v>#VALUE!</v>
          </cell>
        </row>
        <row r="481">
          <cell r="AH481" t="e">
            <v>#VALUE!</v>
          </cell>
          <cell r="AI481" t="e">
            <v>#VALUE!</v>
          </cell>
          <cell r="AJ481" t="e">
            <v>#VALUE!</v>
          </cell>
          <cell r="AK481" t="e">
            <v>#VALUE!</v>
          </cell>
        </row>
        <row r="482">
          <cell r="AH482" t="e">
            <v>#VALUE!</v>
          </cell>
          <cell r="AI482" t="e">
            <v>#VALUE!</v>
          </cell>
          <cell r="AJ482" t="e">
            <v>#VALUE!</v>
          </cell>
          <cell r="AK482" t="e">
            <v>#VALUE!</v>
          </cell>
        </row>
        <row r="483">
          <cell r="AH483" t="e">
            <v>#VALUE!</v>
          </cell>
          <cell r="AI483" t="e">
            <v>#VALUE!</v>
          </cell>
          <cell r="AJ483" t="e">
            <v>#VALUE!</v>
          </cell>
          <cell r="AK483" t="e">
            <v>#VALUE!</v>
          </cell>
        </row>
        <row r="484">
          <cell r="AH484" t="e">
            <v>#VALUE!</v>
          </cell>
          <cell r="AI484" t="e">
            <v>#VALUE!</v>
          </cell>
          <cell r="AJ484" t="e">
            <v>#VALUE!</v>
          </cell>
          <cell r="AK484" t="e">
            <v>#VALUE!</v>
          </cell>
        </row>
        <row r="485">
          <cell r="AH485" t="e">
            <v>#VALUE!</v>
          </cell>
          <cell r="AI485" t="e">
            <v>#VALUE!</v>
          </cell>
          <cell r="AJ485" t="e">
            <v>#VALUE!</v>
          </cell>
          <cell r="AK485" t="e">
            <v>#VALUE!</v>
          </cell>
        </row>
        <row r="486">
          <cell r="AH486" t="e">
            <v>#VALUE!</v>
          </cell>
          <cell r="AI486" t="e">
            <v>#VALUE!</v>
          </cell>
          <cell r="AJ486" t="e">
            <v>#VALUE!</v>
          </cell>
          <cell r="AK486" t="e">
            <v>#VALUE!</v>
          </cell>
        </row>
        <row r="487">
          <cell r="AH487" t="e">
            <v>#VALUE!</v>
          </cell>
          <cell r="AI487" t="e">
            <v>#VALUE!</v>
          </cell>
          <cell r="AJ487" t="e">
            <v>#VALUE!</v>
          </cell>
          <cell r="AK487" t="e">
            <v>#VALUE!</v>
          </cell>
        </row>
        <row r="488">
          <cell r="AH488" t="e">
            <v>#VALUE!</v>
          </cell>
          <cell r="AI488" t="e">
            <v>#VALUE!</v>
          </cell>
          <cell r="AJ488" t="e">
            <v>#VALUE!</v>
          </cell>
          <cell r="AK488" t="e">
            <v>#VALUE!</v>
          </cell>
        </row>
        <row r="489">
          <cell r="AH489" t="e">
            <v>#VALUE!</v>
          </cell>
          <cell r="AI489" t="e">
            <v>#VALUE!</v>
          </cell>
          <cell r="AJ489" t="e">
            <v>#VALUE!</v>
          </cell>
          <cell r="AK489" t="e">
            <v>#VALUE!</v>
          </cell>
        </row>
        <row r="490">
          <cell r="AH490" t="e">
            <v>#VALUE!</v>
          </cell>
          <cell r="AI490" t="e">
            <v>#VALUE!</v>
          </cell>
          <cell r="AJ490" t="e">
            <v>#VALUE!</v>
          </cell>
          <cell r="AK490" t="e">
            <v>#VALUE!</v>
          </cell>
        </row>
        <row r="491">
          <cell r="AH491" t="e">
            <v>#VALUE!</v>
          </cell>
          <cell r="AI491" t="e">
            <v>#VALUE!</v>
          </cell>
          <cell r="AJ491" t="e">
            <v>#VALUE!</v>
          </cell>
          <cell r="AK491" t="e">
            <v>#VALUE!</v>
          </cell>
        </row>
        <row r="492">
          <cell r="AH492" t="e">
            <v>#VALUE!</v>
          </cell>
          <cell r="AI492" t="e">
            <v>#VALUE!</v>
          </cell>
          <cell r="AJ492" t="e">
            <v>#VALUE!</v>
          </cell>
          <cell r="AK492" t="e">
            <v>#VALUE!</v>
          </cell>
        </row>
        <row r="493">
          <cell r="AH493" t="e">
            <v>#VALUE!</v>
          </cell>
          <cell r="AI493" t="e">
            <v>#VALUE!</v>
          </cell>
          <cell r="AJ493" t="e">
            <v>#VALUE!</v>
          </cell>
          <cell r="AK493" t="e">
            <v>#VALUE!</v>
          </cell>
        </row>
        <row r="494">
          <cell r="AH494" t="e">
            <v>#VALUE!</v>
          </cell>
          <cell r="AI494" t="e">
            <v>#VALUE!</v>
          </cell>
          <cell r="AJ494" t="e">
            <v>#VALUE!</v>
          </cell>
          <cell r="AK494" t="e">
            <v>#VALUE!</v>
          </cell>
        </row>
        <row r="495">
          <cell r="AH495" t="e">
            <v>#VALUE!</v>
          </cell>
          <cell r="AI495" t="e">
            <v>#VALUE!</v>
          </cell>
          <cell r="AJ495" t="e">
            <v>#VALUE!</v>
          </cell>
          <cell r="AK495" t="e">
            <v>#VALUE!</v>
          </cell>
        </row>
        <row r="496">
          <cell r="AH496" t="e">
            <v>#VALUE!</v>
          </cell>
          <cell r="AI496" t="e">
            <v>#VALUE!</v>
          </cell>
          <cell r="AJ496" t="e">
            <v>#VALUE!</v>
          </cell>
          <cell r="AK496" t="e">
            <v>#VALUE!</v>
          </cell>
        </row>
        <row r="497">
          <cell r="AH497" t="e">
            <v>#VALUE!</v>
          </cell>
          <cell r="AI497" t="e">
            <v>#VALUE!</v>
          </cell>
          <cell r="AJ497" t="e">
            <v>#VALUE!</v>
          </cell>
          <cell r="AK497" t="e">
            <v>#VALUE!</v>
          </cell>
        </row>
        <row r="498">
          <cell r="AH498" t="e">
            <v>#VALUE!</v>
          </cell>
          <cell r="AI498" t="e">
            <v>#VALUE!</v>
          </cell>
          <cell r="AJ498" t="e">
            <v>#VALUE!</v>
          </cell>
          <cell r="AK498" t="e">
            <v>#VALUE!</v>
          </cell>
        </row>
        <row r="499">
          <cell r="AH499" t="e">
            <v>#VALUE!</v>
          </cell>
          <cell r="AI499" t="e">
            <v>#VALUE!</v>
          </cell>
          <cell r="AJ499" t="e">
            <v>#VALUE!</v>
          </cell>
          <cell r="AK499" t="e">
            <v>#VALUE!</v>
          </cell>
        </row>
        <row r="500">
          <cell r="AH500" t="e">
            <v>#VALUE!</v>
          </cell>
          <cell r="AI500" t="e">
            <v>#VALUE!</v>
          </cell>
          <cell r="AJ500" t="e">
            <v>#VALUE!</v>
          </cell>
          <cell r="AK500" t="e">
            <v>#VALUE!</v>
          </cell>
        </row>
        <row r="501">
          <cell r="AH501" t="e">
            <v>#VALUE!</v>
          </cell>
          <cell r="AI501" t="e">
            <v>#VALUE!</v>
          </cell>
          <cell r="AJ501" t="e">
            <v>#VALUE!</v>
          </cell>
          <cell r="AK501" t="e">
            <v>#VALUE!</v>
          </cell>
        </row>
        <row r="502">
          <cell r="AH502" t="e">
            <v>#VALUE!</v>
          </cell>
          <cell r="AI502" t="e">
            <v>#VALUE!</v>
          </cell>
          <cell r="AJ502" t="e">
            <v>#VALUE!</v>
          </cell>
          <cell r="AK502" t="e">
            <v>#VALUE!</v>
          </cell>
        </row>
        <row r="503">
          <cell r="AH503" t="e">
            <v>#VALUE!</v>
          </cell>
          <cell r="AI503" t="e">
            <v>#VALUE!</v>
          </cell>
          <cell r="AJ503" t="e">
            <v>#VALUE!</v>
          </cell>
          <cell r="AK503" t="e">
            <v>#VALUE!</v>
          </cell>
        </row>
        <row r="504">
          <cell r="AH504" t="e">
            <v>#VALUE!</v>
          </cell>
          <cell r="AI504" t="e">
            <v>#VALUE!</v>
          </cell>
          <cell r="AJ504" t="e">
            <v>#VALUE!</v>
          </cell>
          <cell r="AK504" t="e">
            <v>#VALUE!</v>
          </cell>
        </row>
        <row r="505">
          <cell r="AH505" t="e">
            <v>#VALUE!</v>
          </cell>
          <cell r="AI505" t="e">
            <v>#VALUE!</v>
          </cell>
          <cell r="AJ505" t="e">
            <v>#VALUE!</v>
          </cell>
          <cell r="AK505" t="e">
            <v>#VALUE!</v>
          </cell>
        </row>
        <row r="506">
          <cell r="AH506" t="e">
            <v>#VALUE!</v>
          </cell>
          <cell r="AI506" t="e">
            <v>#VALUE!</v>
          </cell>
          <cell r="AJ506" t="e">
            <v>#VALUE!</v>
          </cell>
          <cell r="AK506" t="e">
            <v>#VALUE!</v>
          </cell>
        </row>
        <row r="507">
          <cell r="AH507" t="e">
            <v>#VALUE!</v>
          </cell>
          <cell r="AI507" t="e">
            <v>#VALUE!</v>
          </cell>
          <cell r="AJ507" t="e">
            <v>#VALUE!</v>
          </cell>
          <cell r="AK507" t="e">
            <v>#VALUE!</v>
          </cell>
        </row>
        <row r="508">
          <cell r="AH508" t="e">
            <v>#VALUE!</v>
          </cell>
          <cell r="AI508" t="e">
            <v>#VALUE!</v>
          </cell>
          <cell r="AJ508" t="e">
            <v>#VALUE!</v>
          </cell>
          <cell r="AK508" t="e">
            <v>#VALUE!</v>
          </cell>
        </row>
        <row r="509">
          <cell r="AH509" t="e">
            <v>#VALUE!</v>
          </cell>
          <cell r="AI509" t="e">
            <v>#VALUE!</v>
          </cell>
          <cell r="AJ509" t="e">
            <v>#VALUE!</v>
          </cell>
          <cell r="AK509" t="e">
            <v>#VALUE!</v>
          </cell>
        </row>
        <row r="510">
          <cell r="AH510" t="e">
            <v>#VALUE!</v>
          </cell>
          <cell r="AI510" t="e">
            <v>#VALUE!</v>
          </cell>
          <cell r="AJ510" t="e">
            <v>#VALUE!</v>
          </cell>
          <cell r="AK510" t="e">
            <v>#VALUE!</v>
          </cell>
        </row>
        <row r="511">
          <cell r="AH511" t="e">
            <v>#VALUE!</v>
          </cell>
          <cell r="AI511" t="e">
            <v>#VALUE!</v>
          </cell>
          <cell r="AJ511" t="e">
            <v>#VALUE!</v>
          </cell>
          <cell r="AK511" t="e">
            <v>#VALUE!</v>
          </cell>
        </row>
        <row r="512">
          <cell r="AH512" t="e">
            <v>#VALUE!</v>
          </cell>
          <cell r="AI512" t="e">
            <v>#VALUE!</v>
          </cell>
          <cell r="AJ512" t="e">
            <v>#VALUE!</v>
          </cell>
          <cell r="AK512" t="e">
            <v>#VALUE!</v>
          </cell>
        </row>
        <row r="513">
          <cell r="AH513" t="e">
            <v>#VALUE!</v>
          </cell>
          <cell r="AI513" t="e">
            <v>#VALUE!</v>
          </cell>
          <cell r="AJ513" t="e">
            <v>#VALUE!</v>
          </cell>
          <cell r="AK513" t="e">
            <v>#VALUE!</v>
          </cell>
        </row>
        <row r="514">
          <cell r="AH514" t="e">
            <v>#VALUE!</v>
          </cell>
          <cell r="AI514" t="e">
            <v>#VALUE!</v>
          </cell>
          <cell r="AJ514" t="e">
            <v>#VALUE!</v>
          </cell>
          <cell r="AK514" t="e">
            <v>#VALUE!</v>
          </cell>
        </row>
        <row r="515">
          <cell r="AH515" t="e">
            <v>#VALUE!</v>
          </cell>
          <cell r="AI515" t="e">
            <v>#VALUE!</v>
          </cell>
          <cell r="AJ515" t="e">
            <v>#VALUE!</v>
          </cell>
          <cell r="AK515" t="e">
            <v>#VALUE!</v>
          </cell>
        </row>
        <row r="516">
          <cell r="AH516" t="e">
            <v>#VALUE!</v>
          </cell>
          <cell r="AI516" t="e">
            <v>#VALUE!</v>
          </cell>
          <cell r="AJ516" t="e">
            <v>#VALUE!</v>
          </cell>
          <cell r="AK516" t="e">
            <v>#VALUE!</v>
          </cell>
        </row>
        <row r="517">
          <cell r="AH517" t="e">
            <v>#VALUE!</v>
          </cell>
          <cell r="AI517" t="e">
            <v>#VALUE!</v>
          </cell>
          <cell r="AJ517" t="e">
            <v>#VALUE!</v>
          </cell>
          <cell r="AK517" t="e">
            <v>#VALUE!</v>
          </cell>
        </row>
        <row r="518">
          <cell r="AH518" t="e">
            <v>#VALUE!</v>
          </cell>
          <cell r="AI518" t="e">
            <v>#VALUE!</v>
          </cell>
          <cell r="AJ518" t="e">
            <v>#VALUE!</v>
          </cell>
          <cell r="AK518" t="e">
            <v>#VALUE!</v>
          </cell>
        </row>
        <row r="519">
          <cell r="AH519" t="e">
            <v>#VALUE!</v>
          </cell>
          <cell r="AI519" t="e">
            <v>#VALUE!</v>
          </cell>
          <cell r="AJ519" t="e">
            <v>#VALUE!</v>
          </cell>
          <cell r="AK519" t="e">
            <v>#VALUE!</v>
          </cell>
        </row>
        <row r="520">
          <cell r="AH520" t="e">
            <v>#VALUE!</v>
          </cell>
          <cell r="AI520" t="e">
            <v>#VALUE!</v>
          </cell>
          <cell r="AJ520" t="e">
            <v>#VALUE!</v>
          </cell>
          <cell r="AK520" t="e">
            <v>#VALUE!</v>
          </cell>
        </row>
        <row r="521">
          <cell r="AH521" t="e">
            <v>#VALUE!</v>
          </cell>
          <cell r="AI521" t="e">
            <v>#VALUE!</v>
          </cell>
          <cell r="AJ521" t="e">
            <v>#VALUE!</v>
          </cell>
          <cell r="AK521" t="e">
            <v>#VALUE!</v>
          </cell>
        </row>
        <row r="522">
          <cell r="AH522" t="e">
            <v>#VALUE!</v>
          </cell>
          <cell r="AI522" t="e">
            <v>#VALUE!</v>
          </cell>
          <cell r="AJ522" t="e">
            <v>#VALUE!</v>
          </cell>
          <cell r="AK522" t="e">
            <v>#VALUE!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/>
  <dimension ref="A1:AT49"/>
  <sheetViews>
    <sheetView showGridLines="0" tabSelected="1" view="pageBreakPreview" zoomScale="70" zoomScaleNormal="70" zoomScaleSheetLayoutView="70" workbookViewId="0">
      <selection activeCell="K57" sqref="K57"/>
    </sheetView>
  </sheetViews>
  <sheetFormatPr defaultColWidth="6.28515625" defaultRowHeight="15"/>
  <cols>
    <col min="1" max="1" width="3.5703125" style="1" customWidth="1"/>
    <col min="2" max="2" width="6.85546875" style="1" customWidth="1"/>
    <col min="3" max="3" width="5.5703125" style="1" customWidth="1"/>
    <col min="4" max="4" width="5.28515625" style="1" customWidth="1"/>
    <col min="5" max="5" width="12.7109375" style="1" customWidth="1"/>
    <col min="6" max="6" width="8.28515625" style="1" customWidth="1"/>
    <col min="7" max="7" width="8" style="1" customWidth="1"/>
    <col min="8" max="8" width="10.28515625" style="1" customWidth="1"/>
    <col min="9" max="9" width="10.42578125" style="1" customWidth="1"/>
    <col min="10" max="10" width="9.28515625" style="1" customWidth="1"/>
    <col min="11" max="11" width="4.5703125" style="1" customWidth="1"/>
    <col min="12" max="12" width="5.7109375" style="1" customWidth="1"/>
    <col min="13" max="16" width="7.5703125" style="1" customWidth="1"/>
    <col min="17" max="17" width="9.7109375" style="1" customWidth="1"/>
    <col min="18" max="19" width="5.42578125" style="1" customWidth="1"/>
    <col min="20" max="20" width="6.28515625" style="1" customWidth="1"/>
    <col min="21" max="21" width="6.42578125" style="1" customWidth="1"/>
    <col min="22" max="23" width="6.85546875" style="1" customWidth="1"/>
    <col min="24" max="24" width="5.42578125" style="1" customWidth="1"/>
    <col min="25" max="25" width="7.7109375" style="1" customWidth="1"/>
    <col min="26" max="26" width="9.28515625" style="1" customWidth="1"/>
    <col min="27" max="31" width="5.42578125" style="1" customWidth="1"/>
    <col min="32" max="32" width="9.28515625" style="1" customWidth="1"/>
    <col min="33" max="34" width="5.7109375" style="1" customWidth="1"/>
    <col min="35" max="35" width="10" style="1" customWidth="1"/>
    <col min="36" max="36" width="6.28515625" style="1" customWidth="1"/>
    <col min="37" max="37" width="6.28515625" style="2" customWidth="1"/>
    <col min="38" max="38" width="6.28515625" style="2"/>
    <col min="39" max="16384" width="6.28515625" style="1"/>
  </cols>
  <sheetData>
    <row r="1" spans="1:46" ht="20.100000000000001" customHeight="1">
      <c r="A1" s="314" t="s">
        <v>0</v>
      </c>
      <c r="B1" s="315"/>
      <c r="C1" s="315"/>
      <c r="D1" s="315"/>
      <c r="E1" s="316" t="s">
        <v>1</v>
      </c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  <c r="AB1" s="316"/>
      <c r="AC1" s="316"/>
      <c r="AD1" s="316"/>
      <c r="AE1" s="316"/>
      <c r="AF1" s="315" t="s">
        <v>2</v>
      </c>
      <c r="AG1" s="315"/>
      <c r="AH1" s="315"/>
      <c r="AI1" s="318"/>
    </row>
    <row r="2" spans="1:46" ht="20.100000000000001" customHeight="1">
      <c r="A2" s="319" t="s">
        <v>3</v>
      </c>
      <c r="B2" s="320"/>
      <c r="C2" s="320"/>
      <c r="D2" s="320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21" t="s">
        <v>4</v>
      </c>
      <c r="AG2" s="321"/>
      <c r="AH2" s="321"/>
      <c r="AI2" s="322"/>
      <c r="AM2" s="2"/>
      <c r="AN2" s="2"/>
      <c r="AO2" s="2"/>
      <c r="AP2" s="2"/>
      <c r="AQ2" s="2"/>
      <c r="AR2" s="2"/>
      <c r="AS2" s="2"/>
      <c r="AT2" s="2"/>
    </row>
    <row r="3" spans="1:46" ht="5.25" customHeight="1">
      <c r="A3" s="3"/>
      <c r="AI3" s="4"/>
      <c r="AN3" s="2"/>
      <c r="AP3" s="2"/>
    </row>
    <row r="4" spans="1:46" s="9" customFormat="1" ht="30.6" customHeight="1">
      <c r="A4" s="5" t="s">
        <v>5</v>
      </c>
      <c r="B4" s="6"/>
      <c r="C4" s="7"/>
      <c r="D4" s="8"/>
      <c r="E4" s="323" t="s">
        <v>6</v>
      </c>
      <c r="F4" s="324"/>
      <c r="G4" s="325" t="s">
        <v>7</v>
      </c>
      <c r="H4" s="326"/>
      <c r="I4" s="326"/>
      <c r="J4" s="326"/>
      <c r="K4" s="326"/>
      <c r="L4" s="326"/>
      <c r="M4" s="326"/>
      <c r="N4" s="327"/>
      <c r="O4" s="325" t="s">
        <v>8</v>
      </c>
      <c r="P4" s="326"/>
      <c r="Q4" s="326"/>
      <c r="R4" s="326"/>
      <c r="S4" s="326"/>
      <c r="T4" s="326"/>
      <c r="U4" s="326"/>
      <c r="V4" s="326"/>
      <c r="W4" s="326"/>
      <c r="X4" s="326"/>
      <c r="Y4" s="326"/>
      <c r="Z4" s="326"/>
      <c r="AA4" s="326"/>
      <c r="AB4" s="326"/>
      <c r="AC4" s="326"/>
      <c r="AD4" s="326"/>
      <c r="AE4" s="326"/>
      <c r="AF4" s="326"/>
      <c r="AG4" s="326"/>
      <c r="AH4" s="326"/>
      <c r="AI4" s="328"/>
      <c r="AK4" s="10"/>
      <c r="AL4" s="10"/>
      <c r="AN4" s="2"/>
      <c r="AP4" s="2"/>
    </row>
    <row r="5" spans="1:46" s="9" customFormat="1" ht="40.15" customHeight="1">
      <c r="A5" s="11" t="s">
        <v>9</v>
      </c>
      <c r="B5" s="12"/>
      <c r="C5" s="303">
        <v>46164</v>
      </c>
      <c r="D5" s="304"/>
      <c r="E5" s="305"/>
      <c r="F5" s="306"/>
      <c r="G5" s="309" t="s">
        <v>10</v>
      </c>
      <c r="H5" s="310"/>
      <c r="I5" s="311" t="s">
        <v>11</v>
      </c>
      <c r="J5" s="312"/>
      <c r="K5" s="309" t="s">
        <v>12</v>
      </c>
      <c r="L5" s="313"/>
      <c r="M5" s="286" t="s">
        <v>13</v>
      </c>
      <c r="N5" s="287"/>
      <c r="O5" s="286" t="s">
        <v>14</v>
      </c>
      <c r="P5" s="287"/>
      <c r="Q5" s="288" t="s">
        <v>15</v>
      </c>
      <c r="R5" s="289"/>
      <c r="S5" s="290"/>
      <c r="T5" s="286" t="s">
        <v>16</v>
      </c>
      <c r="U5" s="291"/>
      <c r="V5" s="291"/>
      <c r="W5" s="287"/>
      <c r="X5" s="12" t="s">
        <v>17</v>
      </c>
      <c r="Z5" s="13"/>
      <c r="AA5" s="14"/>
      <c r="AB5" s="14" t="s">
        <v>18</v>
      </c>
      <c r="AC5" s="15"/>
      <c r="AD5" s="15"/>
      <c r="AE5" s="292" t="s">
        <v>19</v>
      </c>
      <c r="AF5" s="293"/>
      <c r="AG5" s="293"/>
      <c r="AH5" s="286" t="s">
        <v>20</v>
      </c>
      <c r="AI5" s="294"/>
      <c r="AK5" s="10"/>
      <c r="AL5" s="10"/>
      <c r="AN5" s="2"/>
      <c r="AP5" s="2"/>
    </row>
    <row r="6" spans="1:46" s="9" customFormat="1" ht="40.15" customHeight="1">
      <c r="A6" s="16" t="s">
        <v>21</v>
      </c>
      <c r="B6" s="17"/>
      <c r="C6" s="295" t="s">
        <v>22</v>
      </c>
      <c r="D6" s="296"/>
      <c r="E6" s="307"/>
      <c r="F6" s="308"/>
      <c r="G6" s="297"/>
      <c r="H6" s="298"/>
      <c r="I6" s="299" t="str">
        <f>IF(AND(COUNTIF(AJ11:AJ41,"TE")&gt;0,COUNTIF(AJ11:AJ41,"EN")&gt;0),"Type E;Tornus ES;Endoligar",IF(COUNTIF(AJ11:AJ41,"EN")&gt;0,"Type E; Endoligar",IF(COUNTIF(AJ11:AJ41,"TE")&gt;0,"Type E; Tornus ES","Type E")))</f>
        <v>Type E</v>
      </c>
      <c r="J6" s="300"/>
      <c r="K6" s="301">
        <v>10</v>
      </c>
      <c r="L6" s="302"/>
      <c r="M6" s="301"/>
      <c r="N6" s="302"/>
      <c r="O6" s="269"/>
      <c r="P6" s="270"/>
      <c r="Q6" s="271"/>
      <c r="R6" s="272"/>
      <c r="S6" s="273"/>
      <c r="T6" s="18"/>
      <c r="U6" s="19"/>
      <c r="V6" s="20"/>
      <c r="W6" s="21"/>
      <c r="X6" s="22" t="s">
        <v>23</v>
      </c>
      <c r="Y6" s="23"/>
      <c r="Z6" s="23"/>
      <c r="AA6" s="23"/>
      <c r="AB6" s="23" t="s">
        <v>18</v>
      </c>
      <c r="AC6" s="23"/>
      <c r="AD6" s="23"/>
      <c r="AE6" s="274" t="s">
        <v>24</v>
      </c>
      <c r="AF6" s="275"/>
      <c r="AG6" s="275"/>
      <c r="AH6" s="274"/>
      <c r="AI6" s="276"/>
      <c r="AK6" s="10"/>
      <c r="AL6" s="10"/>
      <c r="AN6" s="2"/>
      <c r="AP6" s="2"/>
    </row>
    <row r="7" spans="1:46" ht="3.75" customHeight="1" thickBot="1">
      <c r="A7" s="24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6"/>
      <c r="V7" s="26"/>
      <c r="W7" s="26"/>
      <c r="X7" s="26"/>
      <c r="Y7" s="26"/>
      <c r="Z7" s="26"/>
      <c r="AA7" s="26"/>
      <c r="AB7" s="25"/>
      <c r="AC7" s="25"/>
      <c r="AD7" s="25"/>
      <c r="AE7" s="25"/>
      <c r="AI7" s="4"/>
      <c r="AN7" s="2"/>
      <c r="AP7" s="2"/>
    </row>
    <row r="8" spans="1:46" s="31" customFormat="1" ht="25.5" customHeight="1" thickTop="1">
      <c r="A8" s="277" t="s">
        <v>25</v>
      </c>
      <c r="B8" s="278"/>
      <c r="C8" s="278"/>
      <c r="D8" s="278"/>
      <c r="E8" s="279"/>
      <c r="F8" s="27" t="s">
        <v>26</v>
      </c>
      <c r="G8" s="280">
        <f>SUM(L11:L30)-SUM(R11:R30)</f>
        <v>0</v>
      </c>
      <c r="H8" s="281"/>
      <c r="I8" s="28" t="s">
        <v>27</v>
      </c>
      <c r="J8" s="29"/>
      <c r="K8" s="282" t="s">
        <v>28</v>
      </c>
      <c r="L8" s="283"/>
      <c r="M8" s="284"/>
      <c r="N8" s="285"/>
      <c r="O8" s="282" t="s">
        <v>29</v>
      </c>
      <c r="P8" s="283"/>
      <c r="Q8" s="30"/>
      <c r="R8" s="265" t="s">
        <v>30</v>
      </c>
      <c r="S8" s="263"/>
      <c r="T8" s="263"/>
      <c r="U8" s="264"/>
      <c r="V8" s="265" t="s">
        <v>31</v>
      </c>
      <c r="W8" s="263"/>
      <c r="X8" s="266"/>
      <c r="Y8" s="266"/>
      <c r="Z8" s="267" t="s">
        <v>32</v>
      </c>
      <c r="AA8" s="266"/>
      <c r="AB8" s="266"/>
      <c r="AC8" s="268"/>
      <c r="AD8" s="254" t="s">
        <v>33</v>
      </c>
      <c r="AE8" s="254"/>
      <c r="AF8" s="254"/>
      <c r="AG8" s="254"/>
      <c r="AH8" s="255"/>
      <c r="AI8" s="256"/>
      <c r="AK8" s="32"/>
      <c r="AL8" s="33"/>
    </row>
    <row r="9" spans="1:46" ht="28.5" customHeight="1">
      <c r="A9" s="257" t="s">
        <v>34</v>
      </c>
      <c r="B9" s="252" t="s">
        <v>35</v>
      </c>
      <c r="C9" s="258"/>
      <c r="D9" s="258"/>
      <c r="E9" s="258"/>
      <c r="F9" s="258"/>
      <c r="G9" s="258"/>
      <c r="H9" s="258"/>
      <c r="I9" s="258"/>
      <c r="J9" s="258"/>
      <c r="K9" s="258"/>
      <c r="L9" s="253"/>
      <c r="M9" s="246" t="s">
        <v>36</v>
      </c>
      <c r="N9" s="247"/>
      <c r="O9" s="247"/>
      <c r="P9" s="259"/>
      <c r="Q9" s="34" t="s">
        <v>37</v>
      </c>
      <c r="R9" s="246" t="s">
        <v>38</v>
      </c>
      <c r="S9" s="247"/>
      <c r="T9" s="259"/>
      <c r="U9" s="252" t="s">
        <v>39</v>
      </c>
      <c r="V9" s="253"/>
      <c r="W9" s="246" t="s">
        <v>40</v>
      </c>
      <c r="X9" s="247"/>
      <c r="Y9" s="259"/>
      <c r="Z9" s="35" t="s">
        <v>41</v>
      </c>
      <c r="AA9" s="260" t="s">
        <v>42</v>
      </c>
      <c r="AB9" s="260"/>
      <c r="AC9" s="261"/>
      <c r="AD9" s="262" t="s">
        <v>43</v>
      </c>
      <c r="AE9" s="262"/>
      <c r="AF9" s="245" t="s">
        <v>44</v>
      </c>
      <c r="AG9" s="246" t="s">
        <v>45</v>
      </c>
      <c r="AH9" s="247"/>
      <c r="AI9" s="248"/>
      <c r="AN9" s="2"/>
      <c r="AP9" s="2"/>
    </row>
    <row r="10" spans="1:46" ht="75">
      <c r="A10" s="257"/>
      <c r="B10" s="35" t="s">
        <v>46</v>
      </c>
      <c r="C10" s="249" t="s">
        <v>47</v>
      </c>
      <c r="D10" s="249"/>
      <c r="E10" s="36" t="s">
        <v>48</v>
      </c>
      <c r="F10" s="250" t="s">
        <v>49</v>
      </c>
      <c r="G10" s="251"/>
      <c r="H10" s="37" t="s">
        <v>50</v>
      </c>
      <c r="I10" s="38" t="s">
        <v>51</v>
      </c>
      <c r="J10" s="252" t="s">
        <v>52</v>
      </c>
      <c r="K10" s="253"/>
      <c r="L10" s="35" t="s">
        <v>53</v>
      </c>
      <c r="M10" s="39" t="s">
        <v>54</v>
      </c>
      <c r="N10" s="39" t="s">
        <v>55</v>
      </c>
      <c r="O10" s="39" t="s">
        <v>56</v>
      </c>
      <c r="P10" s="39" t="s">
        <v>57</v>
      </c>
      <c r="Q10" s="34" t="s">
        <v>58</v>
      </c>
      <c r="R10" s="40" t="s">
        <v>59</v>
      </c>
      <c r="S10" s="40" t="s">
        <v>60</v>
      </c>
      <c r="T10" s="41" t="s">
        <v>61</v>
      </c>
      <c r="U10" s="42" t="s">
        <v>62</v>
      </c>
      <c r="V10" s="35" t="s">
        <v>63</v>
      </c>
      <c r="W10" s="35" t="s">
        <v>62</v>
      </c>
      <c r="X10" s="35" t="s">
        <v>64</v>
      </c>
      <c r="Y10" s="35" t="s">
        <v>65</v>
      </c>
      <c r="Z10" s="35" t="s">
        <v>58</v>
      </c>
      <c r="AA10" s="35" t="s">
        <v>58</v>
      </c>
      <c r="AB10" s="40" t="s">
        <v>66</v>
      </c>
      <c r="AC10" s="35" t="s">
        <v>67</v>
      </c>
      <c r="AD10" s="262"/>
      <c r="AE10" s="262"/>
      <c r="AF10" s="245"/>
      <c r="AG10" s="40" t="s">
        <v>68</v>
      </c>
      <c r="AH10" s="247" t="s">
        <v>69</v>
      </c>
      <c r="AI10" s="248"/>
      <c r="AN10" s="2"/>
      <c r="AP10" s="2"/>
    </row>
    <row r="11" spans="1:46" s="31" customFormat="1" ht="17.649999999999999" customHeight="1">
      <c r="A11" s="43"/>
      <c r="B11" s="44"/>
      <c r="C11" s="235"/>
      <c r="D11" s="236"/>
      <c r="E11" s="44"/>
      <c r="F11" s="235" t="str">
        <f>IFERROR(VLOOKUP($B11,[4]PTCA!$C:$I,7,0),"")</f>
        <v/>
      </c>
      <c r="G11" s="236"/>
      <c r="H11" s="44" t="str">
        <f>IFERROR(VLOOKUP($B11,[4]PTCA!$C:$AJ,15,0),"")</f>
        <v/>
      </c>
      <c r="I11" s="45" t="str">
        <f>IFERROR(VLOOKUP($B11,[4]PTCA!$C:$AJ,10,0),"")</f>
        <v/>
      </c>
      <c r="J11" s="235" t="str">
        <f>IFERROR(VLOOKUP($B11,[4]PTCA!$C:$AJ,11,0),"")</f>
        <v/>
      </c>
      <c r="K11" s="236"/>
      <c r="L11" s="46" t="str">
        <f>IFERROR(VLOOKUP($B11,[4]PTCA!$C:$AJ,12,0),"")</f>
        <v/>
      </c>
      <c r="M11" s="44" t="str">
        <f>IFERROR(VLOOKUP(B11,[4]PTCA!C:AK,32,0),"")</f>
        <v/>
      </c>
      <c r="N11" s="44" t="str">
        <f>IFERROR(VLOOKUP(B11,[4]PTCA!C:AK,33,0),"")</f>
        <v/>
      </c>
      <c r="O11" s="44" t="str">
        <f>IFERROR(VLOOKUP(B11,[4]PTCA!C:AK,34,0),"")</f>
        <v/>
      </c>
      <c r="P11" s="44" t="str">
        <f>IFERROR(VLOOKUP(B11,[4]PTCA!C:AK,35,0),"")</f>
        <v/>
      </c>
      <c r="Q11" s="44"/>
      <c r="R11" s="47" t="str">
        <f>IFERROR(VLOOKUP($B11,[4]PTCA!$C:$AJ,17,0),"")</f>
        <v/>
      </c>
      <c r="S11" s="48" t="str">
        <f>IFERROR(VLOOKUP($B11,[4]PTCA!$C:$AJ,23,0),"")</f>
        <v/>
      </c>
      <c r="T11" s="49" t="str">
        <f>IFERROR(VLOOKUP($B11,[4]PTCA!$C:$AJ,24,0),"")</f>
        <v/>
      </c>
      <c r="U11" s="50"/>
      <c r="V11" s="51"/>
      <c r="W11" s="52"/>
      <c r="X11" s="52" t="str">
        <f>IFERROR(VLOOKUP($B11,[4]PTCA!$C:$AJ,13,0),"")</f>
        <v/>
      </c>
      <c r="Y11" s="53" t="str">
        <f>IFERROR(VLOOKUP($B11,[4]PTCA!$C:$AJ,30,0),"")</f>
        <v/>
      </c>
      <c r="Z11" s="54"/>
      <c r="AA11" s="55"/>
      <c r="AB11" s="56"/>
      <c r="AC11" s="44" t="str">
        <f>IFERROR(VLOOKUP($B11,[4]PTCA!$C:$AJ,14,0),"")</f>
        <v/>
      </c>
      <c r="AD11" s="237" t="str">
        <f>IFERROR(VLOOKUP($B11,[4]PTCA!$C:$AJ,28,0),"")</f>
        <v/>
      </c>
      <c r="AE11" s="238"/>
      <c r="AF11" s="44" t="str">
        <f>IFERROR(VLOOKUP($B11,[4]PTCA!$C:$AJ,29,0),"")</f>
        <v/>
      </c>
      <c r="AG11" s="57"/>
      <c r="AH11" s="243"/>
      <c r="AI11" s="244"/>
      <c r="AJ11" s="31" t="str">
        <f>LEFT(F11,2)</f>
        <v/>
      </c>
      <c r="AL11" s="33"/>
      <c r="AP11" s="2"/>
    </row>
    <row r="12" spans="1:46" s="31" customFormat="1" ht="17.649999999999999" customHeight="1">
      <c r="A12" s="58"/>
      <c r="B12" s="44"/>
      <c r="C12" s="235"/>
      <c r="D12" s="236"/>
      <c r="E12" s="44"/>
      <c r="F12" s="235" t="str">
        <f>IFERROR(VLOOKUP($B12,[4]PTCA!$C:$I,7,0),"")</f>
        <v/>
      </c>
      <c r="G12" s="236"/>
      <c r="H12" s="44" t="str">
        <f>IFERROR(VLOOKUP($B12,[4]PTCA!$C:$AJ,15,0),"")</f>
        <v/>
      </c>
      <c r="I12" s="45" t="str">
        <f>IFERROR(VLOOKUP($B12,[4]PTCA!$C:$AJ,10,0),"")</f>
        <v/>
      </c>
      <c r="J12" s="235" t="str">
        <f>IFERROR(VLOOKUP($B12,[4]PTCA!$C:$AJ,11,0),"")</f>
        <v/>
      </c>
      <c r="K12" s="236"/>
      <c r="L12" s="46" t="str">
        <f>IFERROR(VLOOKUP($B12,[4]PTCA!$C:$AJ,12,0),"")</f>
        <v/>
      </c>
      <c r="M12" s="44" t="str">
        <f>IFERROR(VLOOKUP(B12,[4]PTCA!C:AK,32,0),"")</f>
        <v/>
      </c>
      <c r="N12" s="44" t="str">
        <f>IFERROR(VLOOKUP(B12,[4]PTCA!C:AK,33,0),"")</f>
        <v/>
      </c>
      <c r="O12" s="44" t="str">
        <f>IFERROR(VLOOKUP(B12,[4]PTCA!C:AK,34,0),"")</f>
        <v/>
      </c>
      <c r="P12" s="44" t="str">
        <f>IFERROR(VLOOKUP(B12,[4]PTCA!C:AK,35,0),"")</f>
        <v/>
      </c>
      <c r="Q12" s="44"/>
      <c r="R12" s="47" t="str">
        <f>IFERROR(VLOOKUP($B12,[4]PTCA!$C:$AJ,17,0),"")</f>
        <v/>
      </c>
      <c r="S12" s="48" t="str">
        <f>IFERROR(VLOOKUP($B12,[4]PTCA!$C:$AJ,23,0),"")</f>
        <v/>
      </c>
      <c r="T12" s="49" t="str">
        <f>IFERROR(VLOOKUP($B12,[4]PTCA!$C:$AJ,24,0),"")</f>
        <v/>
      </c>
      <c r="U12" s="50"/>
      <c r="V12" s="51"/>
      <c r="W12" s="52"/>
      <c r="X12" s="52" t="str">
        <f>IFERROR(VLOOKUP($B12,[4]PTCA!$C:$AJ,13,0),"")</f>
        <v/>
      </c>
      <c r="Y12" s="53" t="str">
        <f>IFERROR(VLOOKUP($B12,[4]PTCA!$C:$AJ,30,0),"")</f>
        <v/>
      </c>
      <c r="Z12" s="54"/>
      <c r="AA12" s="55"/>
      <c r="AB12" s="59"/>
      <c r="AC12" s="44" t="str">
        <f>IFERROR(VLOOKUP($B12,[4]PTCA!$C:$AJ,14,0),"")</f>
        <v/>
      </c>
      <c r="AD12" s="237" t="str">
        <f>IFERROR(VLOOKUP($B12,[4]PTCA!$C:$AJ,28,0),"")</f>
        <v/>
      </c>
      <c r="AE12" s="238"/>
      <c r="AF12" s="44" t="str">
        <f>IFERROR(VLOOKUP($B12,[4]PTCA!$C:$AJ,29,0),"")</f>
        <v/>
      </c>
      <c r="AG12" s="57"/>
      <c r="AH12" s="243"/>
      <c r="AI12" s="244"/>
      <c r="AJ12" s="31" t="str">
        <f t="shared" ref="AJ12:AJ30" si="0">LEFT(F12,2)</f>
        <v/>
      </c>
      <c r="AK12" s="32"/>
      <c r="AL12" s="33"/>
      <c r="AP12" s="2"/>
    </row>
    <row r="13" spans="1:46" s="31" customFormat="1" ht="17.649999999999999" customHeight="1">
      <c r="A13" s="58"/>
      <c r="B13" s="44"/>
      <c r="C13" s="235"/>
      <c r="D13" s="236"/>
      <c r="E13" s="44" t="str">
        <f>IFERROR(VLOOKUP($B13,[4]PTCA!$C:$I,6,0),"")</f>
        <v/>
      </c>
      <c r="F13" s="235" t="str">
        <f>IFERROR(VLOOKUP($B13,[4]PTCA!$C:$I,7,0),"")</f>
        <v/>
      </c>
      <c r="G13" s="236"/>
      <c r="H13" s="44" t="str">
        <f>IFERROR(VLOOKUP($B13,[4]PTCA!$C:$AJ,15,0),"")</f>
        <v/>
      </c>
      <c r="I13" s="45" t="str">
        <f>IFERROR(VLOOKUP($B13,[4]PTCA!$C:$AJ,10,0),"")</f>
        <v/>
      </c>
      <c r="J13" s="235" t="str">
        <f>IFERROR(VLOOKUP($B13,[4]PTCA!$C:$AJ,11,0),"")</f>
        <v/>
      </c>
      <c r="K13" s="236"/>
      <c r="L13" s="46" t="str">
        <f>IFERROR(VLOOKUP($B13,[4]PTCA!$C:$AJ,12,0),"")</f>
        <v/>
      </c>
      <c r="M13" s="44" t="str">
        <f>IFERROR(VLOOKUP(B13,[4]PTCA!C:AK,32,0),"")</f>
        <v/>
      </c>
      <c r="N13" s="44" t="str">
        <f>IFERROR(VLOOKUP(B13,[4]PTCA!C:AK,33,0),"")</f>
        <v/>
      </c>
      <c r="O13" s="44" t="str">
        <f>IFERROR(VLOOKUP(B13,[4]PTCA!C:AK,34,0),"")</f>
        <v/>
      </c>
      <c r="P13" s="44" t="str">
        <f>IFERROR(VLOOKUP(B13,[4]PTCA!C:AK,35,0),"")</f>
        <v/>
      </c>
      <c r="Q13" s="44"/>
      <c r="R13" s="47" t="str">
        <f>IFERROR(VLOOKUP($B13,[4]PTCA!$C:$AJ,17,0),"")</f>
        <v/>
      </c>
      <c r="S13" s="48" t="str">
        <f>IFERROR(VLOOKUP($B13,[4]PTCA!$C:$AJ,23,0),"")</f>
        <v/>
      </c>
      <c r="T13" s="49" t="str">
        <f>IFERROR(VLOOKUP($B13,[4]PTCA!$C:$AJ,24,0),"")</f>
        <v/>
      </c>
      <c r="U13" s="50"/>
      <c r="V13" s="51"/>
      <c r="W13" s="52"/>
      <c r="X13" s="52" t="str">
        <f>IFERROR(VLOOKUP($B13,[4]PTCA!$C:$AJ,13,0),"")</f>
        <v/>
      </c>
      <c r="Y13" s="53" t="str">
        <f>IFERROR(VLOOKUP($B13,[4]PTCA!$C:$AJ,30,0),"")</f>
        <v/>
      </c>
      <c r="Z13" s="54"/>
      <c r="AA13" s="55"/>
      <c r="AB13" s="59"/>
      <c r="AC13" s="44" t="str">
        <f>IFERROR(VLOOKUP($B13,[4]PTCA!$C:$AJ,14,0),"")</f>
        <v/>
      </c>
      <c r="AD13" s="237" t="str">
        <f>IFERROR(VLOOKUP($B13,[4]PTCA!$C:$AJ,28,0),"")</f>
        <v/>
      </c>
      <c r="AE13" s="238"/>
      <c r="AF13" s="44" t="str">
        <f>IFERROR(VLOOKUP($B13,[4]PTCA!$C:$AJ,29,0),"")</f>
        <v/>
      </c>
      <c r="AG13" s="57"/>
      <c r="AH13" s="243"/>
      <c r="AI13" s="244"/>
      <c r="AJ13" s="31" t="str">
        <f t="shared" si="0"/>
        <v/>
      </c>
      <c r="AK13" s="32"/>
      <c r="AL13" s="33"/>
      <c r="AP13" s="2"/>
    </row>
    <row r="14" spans="1:46" s="31" customFormat="1" ht="17.649999999999999" customHeight="1">
      <c r="A14" s="58"/>
      <c r="B14" s="44"/>
      <c r="C14" s="235"/>
      <c r="D14" s="236"/>
      <c r="E14" s="44" t="str">
        <f>IFERROR(VLOOKUP($B14,[4]PTCA!$C:$I,6,0),"")</f>
        <v/>
      </c>
      <c r="F14" s="235" t="str">
        <f>IFERROR(VLOOKUP($B14,[4]PTCA!$C:$I,7,0),"")</f>
        <v/>
      </c>
      <c r="G14" s="236"/>
      <c r="H14" s="44" t="str">
        <f>IFERROR(VLOOKUP($B14,[4]PTCA!$C:$AJ,15,0),"")</f>
        <v/>
      </c>
      <c r="I14" s="45" t="str">
        <f>IFERROR(VLOOKUP($B14,[4]PTCA!$C:$AJ,10,0),"")</f>
        <v/>
      </c>
      <c r="J14" s="235" t="str">
        <f>IFERROR(VLOOKUP($B14,[4]PTCA!$C:$AJ,11,0),"")</f>
        <v/>
      </c>
      <c r="K14" s="236"/>
      <c r="L14" s="46" t="str">
        <f>IFERROR(VLOOKUP($B14,[4]PTCA!$C:$AJ,12,0),"")</f>
        <v/>
      </c>
      <c r="M14" s="44" t="str">
        <f>IFERROR(VLOOKUP(B14,[4]PTCA!C:AK,32,0),"")</f>
        <v/>
      </c>
      <c r="N14" s="44" t="str">
        <f>IFERROR(VLOOKUP(B14,[4]PTCA!C:AK,33,0),"")</f>
        <v/>
      </c>
      <c r="O14" s="44" t="str">
        <f>IFERROR(VLOOKUP(B14,[4]PTCA!C:AK,34,0),"")</f>
        <v/>
      </c>
      <c r="P14" s="44" t="str">
        <f>IFERROR(VLOOKUP(B14,[4]PTCA!C:AK,35,0),"")</f>
        <v/>
      </c>
      <c r="Q14" s="44"/>
      <c r="R14" s="47" t="str">
        <f>IFERROR(VLOOKUP($B14,[4]PTCA!$C:$AJ,17,0),"")</f>
        <v/>
      </c>
      <c r="S14" s="48" t="str">
        <f>IFERROR(VLOOKUP($B14,[4]PTCA!$C:$AJ,23,0),"")</f>
        <v/>
      </c>
      <c r="T14" s="49" t="str">
        <f>IFERROR(VLOOKUP($B14,[4]PTCA!$C:$AJ,24,0),"")</f>
        <v/>
      </c>
      <c r="U14" s="50"/>
      <c r="V14" s="51"/>
      <c r="W14" s="52"/>
      <c r="X14" s="52" t="str">
        <f>IFERROR(VLOOKUP($B14,[4]PTCA!$C:$AJ,13,0),"")</f>
        <v/>
      </c>
      <c r="Y14" s="53" t="str">
        <f>IFERROR(VLOOKUP($B14,[4]PTCA!$C:$AJ,30,0),"")</f>
        <v/>
      </c>
      <c r="Z14" s="54"/>
      <c r="AA14" s="55"/>
      <c r="AB14" s="59"/>
      <c r="AC14" s="44" t="str">
        <f>IFERROR(VLOOKUP($B14,[4]PTCA!$C:$AJ,14,0),"")</f>
        <v/>
      </c>
      <c r="AD14" s="237" t="str">
        <f>IFERROR(VLOOKUP($B14,[4]PTCA!$C:$AJ,28,0),"")</f>
        <v/>
      </c>
      <c r="AE14" s="238"/>
      <c r="AF14" s="44" t="str">
        <f>IFERROR(VLOOKUP($B14,[4]PTCA!$C:$AJ,29,0),"")</f>
        <v/>
      </c>
      <c r="AG14" s="57"/>
      <c r="AH14" s="243"/>
      <c r="AI14" s="244"/>
      <c r="AJ14" s="31" t="str">
        <f t="shared" si="0"/>
        <v/>
      </c>
      <c r="AK14" s="32"/>
      <c r="AL14" s="33"/>
    </row>
    <row r="15" spans="1:46" s="31" customFormat="1" ht="17.649999999999999" customHeight="1">
      <c r="A15" s="58"/>
      <c r="B15" s="44"/>
      <c r="C15" s="235"/>
      <c r="D15" s="236"/>
      <c r="E15" s="44" t="str">
        <f>IFERROR(VLOOKUP($B15,[4]PTCA!$C:$I,6,0),"")</f>
        <v/>
      </c>
      <c r="F15" s="235" t="str">
        <f>IFERROR(VLOOKUP($B15,[4]PTCA!$C:$I,7,0),"")</f>
        <v/>
      </c>
      <c r="G15" s="236"/>
      <c r="H15" s="44" t="str">
        <f>IFERROR(VLOOKUP($B15,[4]PTCA!$C:$AJ,15,0),"")</f>
        <v/>
      </c>
      <c r="I15" s="45" t="str">
        <f>IFERROR(VLOOKUP($B15,[4]PTCA!$C:$AJ,10,0),"")</f>
        <v/>
      </c>
      <c r="J15" s="235" t="str">
        <f>IFERROR(VLOOKUP($B15,[4]PTCA!$C:$AJ,11,0),"")</f>
        <v/>
      </c>
      <c r="K15" s="236"/>
      <c r="L15" s="46" t="str">
        <f>IFERROR(VLOOKUP($B15,[4]PTCA!$C:$AJ,12,0),"")</f>
        <v/>
      </c>
      <c r="M15" s="44" t="str">
        <f>IFERROR(VLOOKUP(B15,[4]PTCA!C:AK,32,0),"")</f>
        <v/>
      </c>
      <c r="N15" s="44" t="str">
        <f>IFERROR(VLOOKUP(B15,[4]PTCA!C:AK,33,0),"")</f>
        <v/>
      </c>
      <c r="O15" s="44" t="str">
        <f>IFERROR(VLOOKUP(B15,[4]PTCA!C:AK,34,0),"")</f>
        <v/>
      </c>
      <c r="P15" s="44" t="str">
        <f>IFERROR(VLOOKUP(B15,[4]PTCA!C:AK,35,0),"")</f>
        <v/>
      </c>
      <c r="Q15" s="47"/>
      <c r="R15" s="47" t="str">
        <f>IFERROR(VLOOKUP($B15,[4]PTCA!$C:$AJ,17,0),"")</f>
        <v/>
      </c>
      <c r="S15" s="48" t="str">
        <f>IFERROR(VLOOKUP($B15,[4]PTCA!$C:$AJ,23,0),"")</f>
        <v/>
      </c>
      <c r="T15" s="49" t="str">
        <f>IFERROR(VLOOKUP($B15,[4]PTCA!$C:$AJ,24,0),"")</f>
        <v/>
      </c>
      <c r="U15" s="50"/>
      <c r="V15" s="51"/>
      <c r="W15" s="52"/>
      <c r="X15" s="52" t="str">
        <f>IFERROR(VLOOKUP($B15,[4]PTCA!$C:$AJ,13,0),"")</f>
        <v/>
      </c>
      <c r="Y15" s="53" t="str">
        <f>IFERROR(VLOOKUP($B15,[4]PTCA!$C:$AJ,30,0),"")</f>
        <v/>
      </c>
      <c r="Z15" s="54"/>
      <c r="AA15" s="55"/>
      <c r="AB15" s="59"/>
      <c r="AC15" s="44" t="str">
        <f>IFERROR(VLOOKUP($B15,[4]PTCA!$C:$AJ,14,0),"")</f>
        <v/>
      </c>
      <c r="AD15" s="237" t="str">
        <f>IFERROR(VLOOKUP($B15,[4]PTCA!$C:$AJ,28,0),"")</f>
        <v/>
      </c>
      <c r="AE15" s="238"/>
      <c r="AF15" s="44" t="str">
        <f>IFERROR(VLOOKUP($B15,[4]PTCA!$C:$AJ,29,0),"")</f>
        <v/>
      </c>
      <c r="AG15" s="57"/>
      <c r="AH15" s="243"/>
      <c r="AI15" s="244"/>
      <c r="AJ15" s="31" t="str">
        <f t="shared" si="0"/>
        <v/>
      </c>
      <c r="AK15" s="32"/>
      <c r="AL15" s="33"/>
    </row>
    <row r="16" spans="1:46" s="31" customFormat="1" ht="17.649999999999999" customHeight="1">
      <c r="A16" s="58"/>
      <c r="B16" s="44"/>
      <c r="C16" s="235"/>
      <c r="D16" s="236"/>
      <c r="E16" s="44" t="str">
        <f>IFERROR(VLOOKUP($B16,[4]PTCA!$C:$I,6,0),"")</f>
        <v/>
      </c>
      <c r="F16" s="235" t="str">
        <f>IFERROR(VLOOKUP($B16,[4]PTCA!$C:$I,7,0),"")</f>
        <v/>
      </c>
      <c r="G16" s="236"/>
      <c r="H16" s="44" t="str">
        <f>IFERROR(VLOOKUP($B16,[4]PTCA!$C:$AJ,15,0),"")</f>
        <v/>
      </c>
      <c r="I16" s="45" t="str">
        <f>IFERROR(VLOOKUP($B16,[4]PTCA!$C:$AJ,10,0),"")</f>
        <v/>
      </c>
      <c r="J16" s="235" t="str">
        <f>IFERROR(VLOOKUP($B16,[4]PTCA!$C:$AJ,11,0),"")</f>
        <v/>
      </c>
      <c r="K16" s="236"/>
      <c r="L16" s="46" t="str">
        <f>IFERROR(VLOOKUP($B16,[4]PTCA!$C:$AJ,12,0),"")</f>
        <v/>
      </c>
      <c r="M16" s="44" t="str">
        <f>IFERROR(VLOOKUP(B16,[4]PTCA!C:AK,32,0),"")</f>
        <v/>
      </c>
      <c r="N16" s="44" t="str">
        <f>IFERROR(VLOOKUP(B16,[4]PTCA!C:AK,33,0),"")</f>
        <v/>
      </c>
      <c r="O16" s="44" t="str">
        <f>IFERROR(VLOOKUP(B16,[4]PTCA!C:AK,34,0),"")</f>
        <v/>
      </c>
      <c r="P16" s="44" t="str">
        <f>IFERROR(VLOOKUP(B16,[4]PTCA!C:AK,35,0),"")</f>
        <v/>
      </c>
      <c r="Q16" s="47"/>
      <c r="R16" s="47" t="str">
        <f>IFERROR(VLOOKUP($B16,[4]PTCA!$C:$AJ,17,0),"")</f>
        <v/>
      </c>
      <c r="S16" s="48" t="str">
        <f>IFERROR(VLOOKUP($B16,[4]PTCA!$C:$AJ,23,0),"")</f>
        <v/>
      </c>
      <c r="T16" s="49" t="str">
        <f>IFERROR(VLOOKUP($B16,[4]PTCA!$C:$AJ,24,0),"")</f>
        <v/>
      </c>
      <c r="U16" s="50"/>
      <c r="V16" s="51"/>
      <c r="W16" s="52"/>
      <c r="X16" s="52" t="str">
        <f>IFERROR(VLOOKUP($B16,[4]PTCA!$C:$AJ,13,0),"")</f>
        <v/>
      </c>
      <c r="Y16" s="53" t="str">
        <f>IFERROR(VLOOKUP($B16,[4]PTCA!$C:$AJ,30,0),"")</f>
        <v/>
      </c>
      <c r="Z16" s="54"/>
      <c r="AA16" s="55"/>
      <c r="AB16" s="59"/>
      <c r="AC16" s="44" t="str">
        <f>IFERROR(VLOOKUP($B16,[4]PTCA!$C:$AJ,14,0),"")</f>
        <v/>
      </c>
      <c r="AD16" s="237" t="str">
        <f>IFERROR(VLOOKUP($B16,[4]PTCA!$C:$AJ,28,0),"")</f>
        <v/>
      </c>
      <c r="AE16" s="238"/>
      <c r="AF16" s="44" t="str">
        <f>IFERROR(VLOOKUP($B16,[4]PTCA!$C:$AJ,29,0),"")</f>
        <v/>
      </c>
      <c r="AG16" s="57"/>
      <c r="AH16" s="243"/>
      <c r="AI16" s="244"/>
      <c r="AJ16" s="31" t="str">
        <f t="shared" si="0"/>
        <v/>
      </c>
      <c r="AK16" s="32"/>
      <c r="AL16" s="33"/>
    </row>
    <row r="17" spans="1:38" s="31" customFormat="1" ht="17.649999999999999" customHeight="1">
      <c r="A17" s="58"/>
      <c r="B17" s="44"/>
      <c r="C17" s="235"/>
      <c r="D17" s="236"/>
      <c r="E17" s="44" t="str">
        <f>IFERROR(VLOOKUP($B17,[4]PTCA!$C:$I,6,0),"")</f>
        <v/>
      </c>
      <c r="F17" s="235" t="str">
        <f>IFERROR(VLOOKUP($B17,[4]PTCA!$C:$I,7,0),"")</f>
        <v/>
      </c>
      <c r="G17" s="236"/>
      <c r="H17" s="44" t="str">
        <f>IFERROR(VLOOKUP($B17,[4]PTCA!$C:$AJ,15,0),"")</f>
        <v/>
      </c>
      <c r="I17" s="60" t="str">
        <f>IFERROR(VLOOKUP($B17,[4]PTCA!$C:$AJ,10,0),"")</f>
        <v/>
      </c>
      <c r="J17" s="235" t="str">
        <f>IFERROR(VLOOKUP($B17,[4]PTCA!$C:$AJ,11,0),"")</f>
        <v/>
      </c>
      <c r="K17" s="236"/>
      <c r="L17" s="46" t="str">
        <f>IFERROR(VLOOKUP($B17,[4]PTCA!$C:$AJ,12,0),"")</f>
        <v/>
      </c>
      <c r="M17" s="44" t="str">
        <f>IFERROR(VLOOKUP(B17,[4]PTCA!C:AK,32,0),"")</f>
        <v/>
      </c>
      <c r="N17" s="44" t="str">
        <f>IFERROR(VLOOKUP(B17,[4]PTCA!C:AK,33,0),"")</f>
        <v/>
      </c>
      <c r="O17" s="44" t="str">
        <f>IFERROR(VLOOKUP(B17,[4]PTCA!C:AK,34,0),"")</f>
        <v/>
      </c>
      <c r="P17" s="44" t="str">
        <f>IFERROR(VLOOKUP(B17,[4]PTCA!C:AK,35,0),"")</f>
        <v/>
      </c>
      <c r="Q17" s="47"/>
      <c r="R17" s="47" t="str">
        <f>IFERROR(VLOOKUP($B17,[4]PTCA!$C:$AJ,17,0),"")</f>
        <v/>
      </c>
      <c r="S17" s="48" t="str">
        <f>IFERROR(VLOOKUP($B17,[4]PTCA!$C:$AJ,23,0),"")</f>
        <v/>
      </c>
      <c r="T17" s="49" t="str">
        <f>IFERROR(VLOOKUP($B17,[4]PTCA!$C:$AJ,24,0),"")</f>
        <v/>
      </c>
      <c r="U17" s="47"/>
      <c r="V17" s="51"/>
      <c r="W17" s="52"/>
      <c r="X17" s="52" t="str">
        <f>IFERROR(VLOOKUP($B17,[4]PTCA!$C:$AJ,13,0),"")</f>
        <v/>
      </c>
      <c r="Y17" s="53" t="str">
        <f>IFERROR(VLOOKUP($B17,[4]PTCA!$C:$AJ,30,0),"")</f>
        <v/>
      </c>
      <c r="Z17" s="55"/>
      <c r="AA17" s="55"/>
      <c r="AB17" s="59"/>
      <c r="AC17" s="44" t="str">
        <f>IFERROR(VLOOKUP($B17,[4]PTCA!$C:$AJ,14,0),"")</f>
        <v/>
      </c>
      <c r="AD17" s="237" t="str">
        <f>IFERROR(VLOOKUP($B17,[4]PTCA!$C:$AJ,28,0),"")</f>
        <v/>
      </c>
      <c r="AE17" s="238"/>
      <c r="AF17" s="44" t="str">
        <f>IFERROR(VLOOKUP($B17,[4]PTCA!$C:$AJ,29,0),"")</f>
        <v/>
      </c>
      <c r="AG17" s="57"/>
      <c r="AH17" s="243"/>
      <c r="AI17" s="244"/>
      <c r="AJ17" s="31" t="str">
        <f t="shared" si="0"/>
        <v/>
      </c>
      <c r="AK17" s="32"/>
      <c r="AL17" s="33"/>
    </row>
    <row r="18" spans="1:38" s="31" customFormat="1" ht="17.649999999999999" customHeight="1">
      <c r="A18" s="58"/>
      <c r="B18" s="44"/>
      <c r="C18" s="235"/>
      <c r="D18" s="236"/>
      <c r="E18" s="44" t="str">
        <f>IFERROR(VLOOKUP($B18,[4]PTCA!$C:$I,6,0),"")</f>
        <v/>
      </c>
      <c r="F18" s="235" t="str">
        <f>IFERROR(VLOOKUP($B18,[4]PTCA!$C:$I,7,0),"")</f>
        <v/>
      </c>
      <c r="G18" s="236"/>
      <c r="H18" s="44" t="str">
        <f>IFERROR(VLOOKUP($B18,[4]PTCA!$C:$AJ,15,0),"")</f>
        <v/>
      </c>
      <c r="I18" s="45" t="str">
        <f>IFERROR(VLOOKUP($B18,[4]PTCA!$C:$AJ,10,0),"")</f>
        <v/>
      </c>
      <c r="J18" s="235" t="str">
        <f>IFERROR(VLOOKUP($B18,[4]PTCA!$C:$AJ,11,0),"")</f>
        <v/>
      </c>
      <c r="K18" s="236"/>
      <c r="L18" s="46" t="str">
        <f>IFERROR(VLOOKUP($B18,[4]PTCA!$C:$AJ,12,0),"")</f>
        <v/>
      </c>
      <c r="M18" s="44" t="str">
        <f>IFERROR(VLOOKUP(B18,[4]PTCA!C:AK,32,0),"")</f>
        <v/>
      </c>
      <c r="N18" s="44" t="str">
        <f>IFERROR(VLOOKUP(B18,[4]PTCA!C:AK,33,0),"")</f>
        <v/>
      </c>
      <c r="O18" s="44" t="str">
        <f>IFERROR(VLOOKUP(B18,[4]PTCA!C:AK,34,0),"")</f>
        <v/>
      </c>
      <c r="P18" s="44" t="str">
        <f>IFERROR(VLOOKUP(B18,[4]PTCA!C:AK,35,0),"")</f>
        <v/>
      </c>
      <c r="Q18" s="47"/>
      <c r="R18" s="47" t="str">
        <f>IFERROR(VLOOKUP($B18,[4]PTCA!$C:$AJ,17,0),"")</f>
        <v/>
      </c>
      <c r="S18" s="48" t="str">
        <f>IFERROR(VLOOKUP($B18,[4]PTCA!$C:$AJ,23,0),"")</f>
        <v/>
      </c>
      <c r="T18" s="49" t="str">
        <f>IFERROR(VLOOKUP($B18,[4]PTCA!$C:$AJ,24,0),"")</f>
        <v/>
      </c>
      <c r="U18" s="47"/>
      <c r="V18" s="51"/>
      <c r="W18" s="52"/>
      <c r="X18" s="52" t="str">
        <f>IFERROR(VLOOKUP($B18,[4]PTCA!$C:$AJ,13,0),"")</f>
        <v/>
      </c>
      <c r="Y18" s="53" t="str">
        <f>IFERROR(VLOOKUP($B18,[4]PTCA!$C:$AJ,30,0),"")</f>
        <v/>
      </c>
      <c r="Z18" s="55"/>
      <c r="AA18" s="55"/>
      <c r="AB18" s="59"/>
      <c r="AC18" s="44" t="str">
        <f>IFERROR(VLOOKUP($B18,[4]PTCA!$C:$AJ,14,0),"")</f>
        <v/>
      </c>
      <c r="AD18" s="237" t="str">
        <f>IFERROR(VLOOKUP($B18,[4]PTCA!$C:$AJ,28,0),"")</f>
        <v/>
      </c>
      <c r="AE18" s="238"/>
      <c r="AF18" s="44" t="str">
        <f>IFERROR(VLOOKUP($B18,[4]PTCA!$C:$AJ,29,0),"")</f>
        <v/>
      </c>
      <c r="AG18" s="57"/>
      <c r="AH18" s="243"/>
      <c r="AI18" s="244"/>
      <c r="AJ18" s="31" t="str">
        <f t="shared" si="0"/>
        <v/>
      </c>
      <c r="AK18" s="32"/>
      <c r="AL18" s="33"/>
    </row>
    <row r="19" spans="1:38" s="31" customFormat="1" ht="17.649999999999999" customHeight="1">
      <c r="A19" s="58"/>
      <c r="B19" s="44"/>
      <c r="C19" s="235"/>
      <c r="D19" s="236"/>
      <c r="E19" s="44" t="str">
        <f>IFERROR(VLOOKUP($B19,[4]PTCA!$C:$I,6,0),"")</f>
        <v/>
      </c>
      <c r="F19" s="235" t="str">
        <f>IFERROR(VLOOKUP($B19,[4]PTCA!$C:$I,7,0),"")</f>
        <v/>
      </c>
      <c r="G19" s="236"/>
      <c r="H19" s="44" t="str">
        <f>IFERROR(VLOOKUP($B19,[4]PTCA!$C:$AJ,15,0),"")</f>
        <v/>
      </c>
      <c r="I19" s="45" t="str">
        <f>IFERROR(VLOOKUP($B19,[4]PTCA!$C:$AJ,10,0),"")</f>
        <v/>
      </c>
      <c r="J19" s="235" t="str">
        <f>IFERROR(VLOOKUP($B19,[4]PTCA!$C:$AJ,11,0),"")</f>
        <v/>
      </c>
      <c r="K19" s="236"/>
      <c r="L19" s="46" t="str">
        <f>IFERROR(VLOOKUP($B19,[4]PTCA!$C:$AJ,12,0),"")</f>
        <v/>
      </c>
      <c r="M19" s="44" t="str">
        <f>IFERROR(VLOOKUP(B19,[4]PTCA!C:AK,32,0),"")</f>
        <v/>
      </c>
      <c r="N19" s="44" t="str">
        <f>IFERROR(VLOOKUP(B19,[4]PTCA!C:AK,33,0),"")</f>
        <v/>
      </c>
      <c r="O19" s="44" t="str">
        <f>IFERROR(VLOOKUP(B19,[4]PTCA!C:AK,34,0),"")</f>
        <v/>
      </c>
      <c r="P19" s="44" t="str">
        <f>IFERROR(VLOOKUP(B19,[4]PTCA!C:AK,35,0),"")</f>
        <v/>
      </c>
      <c r="Q19" s="47"/>
      <c r="R19" s="47" t="str">
        <f>IFERROR(VLOOKUP($B19,[4]PTCA!$C:$AJ,17,0),"")</f>
        <v/>
      </c>
      <c r="S19" s="48" t="str">
        <f>IFERROR(VLOOKUP($B19,[4]PTCA!$C:$AJ,23,0),"")</f>
        <v/>
      </c>
      <c r="T19" s="49" t="str">
        <f>IFERROR(VLOOKUP($B19,[4]PTCA!$C:$AJ,24,0),"")</f>
        <v/>
      </c>
      <c r="U19" s="47"/>
      <c r="V19" s="51"/>
      <c r="W19" s="52"/>
      <c r="X19" s="52" t="str">
        <f>IFERROR(VLOOKUP($B19,[4]PTCA!$C:$AJ,13,0),"")</f>
        <v/>
      </c>
      <c r="Y19" s="53" t="str">
        <f>IFERROR(VLOOKUP($B19,[4]PTCA!$C:$AJ,30,0),"")</f>
        <v/>
      </c>
      <c r="Z19" s="55"/>
      <c r="AA19" s="55"/>
      <c r="AB19" s="59"/>
      <c r="AC19" s="44" t="str">
        <f>IFERROR(VLOOKUP($B19,[4]PTCA!$C:$AJ,14,0),"")</f>
        <v/>
      </c>
      <c r="AD19" s="237" t="str">
        <f>IFERROR(VLOOKUP($B19,[4]PTCA!$C:$AJ,28,0),"")</f>
        <v/>
      </c>
      <c r="AE19" s="238"/>
      <c r="AF19" s="44" t="str">
        <f>IFERROR(VLOOKUP($B19,[4]PTCA!$C:$AJ,29,0),"")</f>
        <v/>
      </c>
      <c r="AG19" s="57"/>
      <c r="AH19" s="243"/>
      <c r="AI19" s="244"/>
      <c r="AJ19" s="31" t="str">
        <f t="shared" si="0"/>
        <v/>
      </c>
      <c r="AK19" s="32"/>
      <c r="AL19" s="33"/>
    </row>
    <row r="20" spans="1:38" s="31" customFormat="1" ht="17.649999999999999" customHeight="1">
      <c r="A20" s="58"/>
      <c r="B20" s="44"/>
      <c r="C20" s="235"/>
      <c r="D20" s="236"/>
      <c r="E20" s="44" t="str">
        <f>IFERROR(VLOOKUP($B20,[4]PTCA!$C:$I,6,0),"")</f>
        <v/>
      </c>
      <c r="F20" s="235" t="str">
        <f>IFERROR(VLOOKUP($B20,[4]PTCA!$C:$I,7,0),"")</f>
        <v/>
      </c>
      <c r="G20" s="236"/>
      <c r="H20" s="44" t="str">
        <f>IFERROR(VLOOKUP($B20,[4]PTCA!$C:$AJ,15,0),"")</f>
        <v/>
      </c>
      <c r="I20" s="45" t="str">
        <f>IFERROR(VLOOKUP($B20,[4]PTCA!$C:$AJ,10,0),"")</f>
        <v/>
      </c>
      <c r="J20" s="235" t="str">
        <f>IFERROR(VLOOKUP($B20,[4]PTCA!$C:$AJ,11,0),"")</f>
        <v/>
      </c>
      <c r="K20" s="236"/>
      <c r="L20" s="46" t="str">
        <f>IFERROR(VLOOKUP($B20,[4]PTCA!$C:$AJ,12,0),"")</f>
        <v/>
      </c>
      <c r="M20" s="44" t="str">
        <f>IFERROR(VLOOKUP(B20,[4]PTCA!C:AK,32,0),"")</f>
        <v/>
      </c>
      <c r="N20" s="44" t="str">
        <f>IFERROR(VLOOKUP(B20,[4]PTCA!C:AK,33,0),"")</f>
        <v/>
      </c>
      <c r="O20" s="44" t="str">
        <f>IFERROR(VLOOKUP(B20,[4]PTCA!C:AK,34,0),"")</f>
        <v/>
      </c>
      <c r="P20" s="44" t="str">
        <f>IFERROR(VLOOKUP(B20,[4]PTCA!C:AK,35,0),"")</f>
        <v/>
      </c>
      <c r="Q20" s="47"/>
      <c r="R20" s="47" t="str">
        <f>IFERROR(VLOOKUP($B20,[4]PTCA!$C:$AJ,17,0),"")</f>
        <v/>
      </c>
      <c r="S20" s="48" t="str">
        <f>IFERROR(VLOOKUP($B20,[4]PTCA!$C:$AJ,23,0),"")</f>
        <v/>
      </c>
      <c r="T20" s="49" t="str">
        <f>IFERROR(VLOOKUP($B20,[4]PTCA!$C:$AJ,24,0),"")</f>
        <v/>
      </c>
      <c r="U20" s="47"/>
      <c r="V20" s="51"/>
      <c r="W20" s="52"/>
      <c r="X20" s="52" t="str">
        <f>IFERROR(VLOOKUP($B20,[4]PTCA!$C:$AJ,13,0),"")</f>
        <v/>
      </c>
      <c r="Y20" s="53" t="str">
        <f>IFERROR(VLOOKUP($B20,[4]PTCA!$C:$AJ,30,0),"")</f>
        <v/>
      </c>
      <c r="Z20" s="55"/>
      <c r="AA20" s="55"/>
      <c r="AB20" s="59"/>
      <c r="AC20" s="44" t="str">
        <f>IFERROR(VLOOKUP($B20,[4]PTCA!$C:$AJ,14,0),"")</f>
        <v/>
      </c>
      <c r="AD20" s="237" t="str">
        <f>IFERROR(VLOOKUP($B20,[4]PTCA!$C:$AJ,28,0),"")</f>
        <v/>
      </c>
      <c r="AE20" s="238"/>
      <c r="AF20" s="44" t="str">
        <f>IFERROR(VLOOKUP($B20,[4]PTCA!$C:$AJ,29,0),"")</f>
        <v/>
      </c>
      <c r="AG20" s="57"/>
      <c r="AH20" s="243"/>
      <c r="AI20" s="244"/>
      <c r="AJ20" s="31" t="str">
        <f t="shared" si="0"/>
        <v/>
      </c>
      <c r="AK20" s="32"/>
      <c r="AL20" s="33"/>
    </row>
    <row r="21" spans="1:38" s="31" customFormat="1" ht="17.649999999999999" customHeight="1">
      <c r="A21" s="58"/>
      <c r="B21" s="44"/>
      <c r="C21" s="235"/>
      <c r="D21" s="236"/>
      <c r="E21" s="44" t="str">
        <f>IFERROR(VLOOKUP($B21,[4]PTCA!$C:$I,6,0),"")</f>
        <v/>
      </c>
      <c r="F21" s="235" t="str">
        <f>IFERROR(VLOOKUP($B21,[4]PTCA!$C:$I,7,0),"")</f>
        <v/>
      </c>
      <c r="G21" s="236"/>
      <c r="H21" s="44" t="str">
        <f>IFERROR(VLOOKUP($B21,[4]PTCA!$C:$AJ,15,0),"")</f>
        <v/>
      </c>
      <c r="I21" s="45" t="str">
        <f>IFERROR(VLOOKUP($B21,[4]PTCA!$C:$AJ,10,0),"")</f>
        <v/>
      </c>
      <c r="J21" s="235" t="str">
        <f>IFERROR(VLOOKUP($B21,[4]PTCA!$C:$AJ,11,0),"")</f>
        <v/>
      </c>
      <c r="K21" s="236"/>
      <c r="L21" s="46" t="str">
        <f>IFERROR(VLOOKUP($B21,[4]PTCA!$C:$AJ,12,0),"")</f>
        <v/>
      </c>
      <c r="M21" s="44" t="str">
        <f>IFERROR(VLOOKUP(B21,[4]PTCA!C:AK,32,0),"")</f>
        <v/>
      </c>
      <c r="N21" s="44" t="str">
        <f>IFERROR(VLOOKUP(B21,[4]PTCA!C:AK,33,0),"")</f>
        <v/>
      </c>
      <c r="O21" s="44" t="str">
        <f>IFERROR(VLOOKUP(B21,[4]PTCA!C:AK,34,0),"")</f>
        <v/>
      </c>
      <c r="P21" s="44" t="str">
        <f>IFERROR(VLOOKUP(B21,[4]PTCA!C:AK,35,0),"")</f>
        <v/>
      </c>
      <c r="Q21" s="47"/>
      <c r="R21" s="47" t="str">
        <f>IFERROR(VLOOKUP($B21,[4]PTCA!$C:$AJ,17,0),"")</f>
        <v/>
      </c>
      <c r="S21" s="48" t="str">
        <f>IFERROR(VLOOKUP($B21,[4]PTCA!$C:$AJ,23,0),"")</f>
        <v/>
      </c>
      <c r="T21" s="49" t="str">
        <f>IFERROR(VLOOKUP($B21,[4]PTCA!$C:$AJ,24,0),"")</f>
        <v/>
      </c>
      <c r="U21" s="47"/>
      <c r="V21" s="51"/>
      <c r="W21" s="52"/>
      <c r="X21" s="52" t="str">
        <f>IFERROR(VLOOKUP($B21,[4]PTCA!$C:$AJ,13,0),"")</f>
        <v/>
      </c>
      <c r="Y21" s="53" t="str">
        <f>IFERROR(VLOOKUP($B21,[4]PTCA!$C:$AJ,30,0),"")</f>
        <v/>
      </c>
      <c r="Z21" s="55"/>
      <c r="AA21" s="55"/>
      <c r="AB21" s="59"/>
      <c r="AC21" s="44" t="str">
        <f>IFERROR(VLOOKUP($B21,[4]PTCA!$C:$AJ,14,0),"")</f>
        <v/>
      </c>
      <c r="AD21" s="237" t="str">
        <f>IFERROR(VLOOKUP($B21,[4]PTCA!$C:$AJ,28,0),"")</f>
        <v/>
      </c>
      <c r="AE21" s="238"/>
      <c r="AF21" s="44" t="str">
        <f>IFERROR(VLOOKUP($B21,[4]PTCA!$C:$AJ,29,0),"")</f>
        <v/>
      </c>
      <c r="AG21" s="57"/>
      <c r="AH21" s="243"/>
      <c r="AI21" s="244"/>
      <c r="AJ21" s="31" t="str">
        <f t="shared" si="0"/>
        <v/>
      </c>
      <c r="AK21" s="32"/>
      <c r="AL21" s="33"/>
    </row>
    <row r="22" spans="1:38" s="31" customFormat="1" ht="17.649999999999999" customHeight="1">
      <c r="A22" s="58"/>
      <c r="B22" s="44"/>
      <c r="C22" s="235"/>
      <c r="D22" s="236"/>
      <c r="E22" s="44" t="str">
        <f>IFERROR(VLOOKUP($B22,[4]PTCA!$C:$I,6,0),"")</f>
        <v/>
      </c>
      <c r="F22" s="235" t="str">
        <f>IFERROR(VLOOKUP($B22,[4]PTCA!$C:$I,7,0),"")</f>
        <v/>
      </c>
      <c r="G22" s="236"/>
      <c r="H22" s="44" t="str">
        <f>IFERROR(VLOOKUP($B22,[4]PTCA!$C:$AJ,15,0),"")</f>
        <v/>
      </c>
      <c r="I22" s="45" t="str">
        <f>IFERROR(VLOOKUP($B22,[4]PTCA!$C:$AJ,10,0),"")</f>
        <v/>
      </c>
      <c r="J22" s="235" t="str">
        <f>IFERROR(VLOOKUP($B22,[4]PTCA!$C:$AJ,11,0),"")</f>
        <v/>
      </c>
      <c r="K22" s="236"/>
      <c r="L22" s="46" t="str">
        <f>IFERROR(VLOOKUP($B22,[4]PTCA!$C:$AJ,12,0),"")</f>
        <v/>
      </c>
      <c r="M22" s="44" t="str">
        <f>IFERROR(VLOOKUP(B22,[4]PTCA!C:AK,32,0),"")</f>
        <v/>
      </c>
      <c r="N22" s="44" t="str">
        <f>IFERROR(VLOOKUP(B22,[4]PTCA!C:AK,33,0),"")</f>
        <v/>
      </c>
      <c r="O22" s="44" t="str">
        <f>IFERROR(VLOOKUP(B22,[4]PTCA!C:AK,34,0),"")</f>
        <v/>
      </c>
      <c r="P22" s="44" t="str">
        <f>IFERROR(VLOOKUP(B22,[4]PTCA!C:AK,35,0),"")</f>
        <v/>
      </c>
      <c r="Q22" s="47"/>
      <c r="R22" s="47" t="str">
        <f>IFERROR(VLOOKUP($B22,[4]PTCA!$C:$AJ,17,0),"")</f>
        <v/>
      </c>
      <c r="S22" s="48" t="str">
        <f>IFERROR(VLOOKUP($B22,[4]PTCA!$C:$AJ,23,0),"")</f>
        <v/>
      </c>
      <c r="T22" s="49" t="str">
        <f>IFERROR(VLOOKUP($B22,[4]PTCA!$C:$AJ,24,0),"")</f>
        <v/>
      </c>
      <c r="U22" s="47"/>
      <c r="V22" s="51"/>
      <c r="W22" s="52"/>
      <c r="X22" s="52" t="str">
        <f>IFERROR(VLOOKUP($B22,[4]PTCA!$C:$AJ,13,0),"")</f>
        <v/>
      </c>
      <c r="Y22" s="53" t="str">
        <f>IFERROR(VLOOKUP($B22,[4]PTCA!$C:$AJ,30,0),"")</f>
        <v/>
      </c>
      <c r="Z22" s="55"/>
      <c r="AA22" s="55"/>
      <c r="AB22" s="59"/>
      <c r="AC22" s="44" t="str">
        <f>IFERROR(VLOOKUP($B22,[4]PTCA!$C:$AJ,14,0),"")</f>
        <v/>
      </c>
      <c r="AD22" s="237" t="str">
        <f>IFERROR(VLOOKUP($B22,[4]PTCA!$C:$AJ,28,0),"")</f>
        <v/>
      </c>
      <c r="AE22" s="238"/>
      <c r="AF22" s="44" t="str">
        <f>IFERROR(VLOOKUP($B22,[4]PTCA!$C:$AJ,29,0),"")</f>
        <v/>
      </c>
      <c r="AG22" s="57"/>
      <c r="AH22" s="243"/>
      <c r="AI22" s="244"/>
      <c r="AJ22" s="31" t="str">
        <f t="shared" si="0"/>
        <v/>
      </c>
      <c r="AK22" s="32"/>
      <c r="AL22" s="33"/>
    </row>
    <row r="23" spans="1:38" s="31" customFormat="1" ht="17.649999999999999" customHeight="1">
      <c r="A23" s="58"/>
      <c r="B23" s="44"/>
      <c r="C23" s="235"/>
      <c r="D23" s="236"/>
      <c r="E23" s="44" t="str">
        <f>IFERROR(VLOOKUP($B23,[4]PTCA!$C:$I,6,0),"")</f>
        <v/>
      </c>
      <c r="F23" s="235" t="str">
        <f>IFERROR(VLOOKUP($B23,[4]PTCA!$C:$I,7,0),"")</f>
        <v/>
      </c>
      <c r="G23" s="236"/>
      <c r="H23" s="44" t="str">
        <f>IFERROR(VLOOKUP($B23,[4]PTCA!$C:$AJ,15,0),"")</f>
        <v/>
      </c>
      <c r="I23" s="45" t="str">
        <f>IFERROR(VLOOKUP($B23,[4]PTCA!$C:$AJ,10,0),"")</f>
        <v/>
      </c>
      <c r="J23" s="235" t="str">
        <f>IFERROR(VLOOKUP($B23,[4]PTCA!$C:$AJ,11,0),"")</f>
        <v/>
      </c>
      <c r="K23" s="236"/>
      <c r="L23" s="46" t="str">
        <f>IFERROR(VLOOKUP($B23,[4]PTCA!$C:$AJ,12,0),"")</f>
        <v/>
      </c>
      <c r="M23" s="44" t="str">
        <f>IFERROR(VLOOKUP(B23,[4]PTCA!C:AK,32,0),"")</f>
        <v/>
      </c>
      <c r="N23" s="44" t="str">
        <f>IFERROR(VLOOKUP(B23,[4]PTCA!C:AK,33,0),"")</f>
        <v/>
      </c>
      <c r="O23" s="44" t="str">
        <f>IFERROR(VLOOKUP(B23,[4]PTCA!C:AK,34,0),"")</f>
        <v/>
      </c>
      <c r="P23" s="44" t="str">
        <f>IFERROR(VLOOKUP(B23,[4]PTCA!C:AK,35,0),"")</f>
        <v/>
      </c>
      <c r="Q23" s="47"/>
      <c r="R23" s="47" t="str">
        <f>IFERROR(VLOOKUP($B23,[4]PTCA!$C:$AJ,17,0),"")</f>
        <v/>
      </c>
      <c r="S23" s="48" t="str">
        <f>IFERROR(VLOOKUP($B23,[4]PTCA!$C:$AJ,23,0),"")</f>
        <v/>
      </c>
      <c r="T23" s="49" t="str">
        <f>IFERROR(VLOOKUP($B23,[4]PTCA!$C:$AJ,24,0),"")</f>
        <v/>
      </c>
      <c r="U23" s="47"/>
      <c r="V23" s="51"/>
      <c r="W23" s="52"/>
      <c r="X23" s="52" t="str">
        <f>IFERROR(VLOOKUP($B23,[4]PTCA!$C:$AJ,13,0),"")</f>
        <v/>
      </c>
      <c r="Y23" s="53" t="str">
        <f>IFERROR(VLOOKUP($B23,[4]PTCA!$C:$AJ,30,0),"")</f>
        <v/>
      </c>
      <c r="Z23" s="55"/>
      <c r="AA23" s="55"/>
      <c r="AB23" s="59"/>
      <c r="AC23" s="44" t="str">
        <f>IFERROR(VLOOKUP($B23,[4]PTCA!$C:$AJ,14,0),"")</f>
        <v/>
      </c>
      <c r="AD23" s="237" t="str">
        <f>IFERROR(VLOOKUP($B23,[4]PTCA!$C:$AJ,28,0),"")</f>
        <v/>
      </c>
      <c r="AE23" s="238"/>
      <c r="AF23" s="44" t="str">
        <f>IFERROR(VLOOKUP($B23,[4]PTCA!$C:$AJ,29,0),"")</f>
        <v/>
      </c>
      <c r="AG23" s="57"/>
      <c r="AH23" s="243"/>
      <c r="AI23" s="244"/>
      <c r="AJ23" s="31" t="str">
        <f t="shared" si="0"/>
        <v/>
      </c>
      <c r="AK23" s="32"/>
      <c r="AL23" s="33"/>
    </row>
    <row r="24" spans="1:38" s="31" customFormat="1" ht="17.649999999999999" customHeight="1">
      <c r="A24" s="58"/>
      <c r="B24" s="44"/>
      <c r="C24" s="235"/>
      <c r="D24" s="236"/>
      <c r="E24" s="44" t="str">
        <f>IFERROR(VLOOKUP($B24,[4]PTCA!$C:$I,6,0),"")</f>
        <v/>
      </c>
      <c r="F24" s="235" t="str">
        <f>IFERROR(VLOOKUP($B24,[4]PTCA!$C:$I,7,0),"")</f>
        <v/>
      </c>
      <c r="G24" s="236"/>
      <c r="H24" s="44" t="str">
        <f>IFERROR(VLOOKUP($B24,[4]PTCA!$C:$AJ,15,0),"")</f>
        <v/>
      </c>
      <c r="I24" s="45" t="str">
        <f>IFERROR(VLOOKUP($B24,[4]PTCA!$C:$AJ,10,0),"")</f>
        <v/>
      </c>
      <c r="J24" s="235" t="str">
        <f>IFERROR(VLOOKUP($B24,[4]PTCA!$C:$AJ,11,0),"")</f>
        <v/>
      </c>
      <c r="K24" s="236"/>
      <c r="L24" s="46" t="str">
        <f>IFERROR(VLOOKUP($B24,[4]PTCA!$C:$AJ,12,0),"")</f>
        <v/>
      </c>
      <c r="M24" s="44" t="str">
        <f>IFERROR(VLOOKUP(B24,[4]PTCA!C:AK,32,0),"")</f>
        <v/>
      </c>
      <c r="N24" s="44" t="str">
        <f>IFERROR(VLOOKUP(B24,[4]PTCA!C:AK,33,0),"")</f>
        <v/>
      </c>
      <c r="O24" s="44" t="str">
        <f>IFERROR(VLOOKUP(B24,[4]PTCA!C:AK,34,0),"")</f>
        <v/>
      </c>
      <c r="P24" s="44" t="str">
        <f>IFERROR(VLOOKUP(B24,[4]PTCA!C:AK,35,0),"")</f>
        <v/>
      </c>
      <c r="Q24" s="47"/>
      <c r="R24" s="47" t="str">
        <f>IFERROR(VLOOKUP($B24,[4]PTCA!$C:$AJ,17,0),"")</f>
        <v/>
      </c>
      <c r="S24" s="48" t="str">
        <f>IFERROR(VLOOKUP($B24,[4]PTCA!$C:$AJ,23,0),"")</f>
        <v/>
      </c>
      <c r="T24" s="49" t="str">
        <f>IFERROR(VLOOKUP($B24,[4]PTCA!$C:$AJ,24,0),"")</f>
        <v/>
      </c>
      <c r="U24" s="47"/>
      <c r="V24" s="51"/>
      <c r="W24" s="52"/>
      <c r="X24" s="52" t="str">
        <f>IFERROR(VLOOKUP($B24,[4]PTCA!$C:$AJ,13,0),"")</f>
        <v/>
      </c>
      <c r="Y24" s="53" t="str">
        <f>IFERROR(VLOOKUP($B24,[4]PTCA!$C:$AJ,30,0),"")</f>
        <v/>
      </c>
      <c r="Z24" s="55"/>
      <c r="AA24" s="55"/>
      <c r="AB24" s="59"/>
      <c r="AC24" s="44" t="str">
        <f>IFERROR(VLOOKUP($B24,[4]PTCA!$C:$AJ,14,0),"")</f>
        <v/>
      </c>
      <c r="AD24" s="237" t="str">
        <f>IFERROR(VLOOKUP($B24,[4]PTCA!$C:$AJ,28,0),"")</f>
        <v/>
      </c>
      <c r="AE24" s="238"/>
      <c r="AF24" s="44" t="str">
        <f>IFERROR(VLOOKUP($B24,[4]PTCA!$C:$AJ,29,0),"")</f>
        <v/>
      </c>
      <c r="AG24" s="57"/>
      <c r="AH24" s="243"/>
      <c r="AI24" s="244"/>
      <c r="AJ24" s="31" t="str">
        <f t="shared" si="0"/>
        <v/>
      </c>
      <c r="AK24" s="32"/>
      <c r="AL24" s="33"/>
    </row>
    <row r="25" spans="1:38" s="31" customFormat="1" ht="17.649999999999999" customHeight="1">
      <c r="A25" s="58"/>
      <c r="B25" s="44"/>
      <c r="C25" s="235"/>
      <c r="D25" s="236"/>
      <c r="E25" s="44" t="str">
        <f>IFERROR(VLOOKUP($B25,[4]PTCA!$C:$I,6,0),"")</f>
        <v/>
      </c>
      <c r="F25" s="235" t="str">
        <f>IFERROR(VLOOKUP($B25,[4]PTCA!$C:$I,7,0),"")</f>
        <v/>
      </c>
      <c r="G25" s="236"/>
      <c r="H25" s="44" t="str">
        <f>IFERROR(VLOOKUP($B25,[4]PTCA!$C:$AJ,15,0),"")</f>
        <v/>
      </c>
      <c r="I25" s="45" t="str">
        <f>IFERROR(VLOOKUP($B25,[4]PTCA!$C:$AJ,10,0),"")</f>
        <v/>
      </c>
      <c r="J25" s="235" t="str">
        <f>IFERROR(VLOOKUP($B25,[4]PTCA!$C:$AJ,11,0),"")</f>
        <v/>
      </c>
      <c r="K25" s="236"/>
      <c r="L25" s="46" t="str">
        <f>IFERROR(VLOOKUP($B25,[4]PTCA!$C:$AJ,12,0),"")</f>
        <v/>
      </c>
      <c r="M25" s="44" t="str">
        <f>IFERROR(VLOOKUP(B25,[4]PTCA!C:AK,32,0),"")</f>
        <v/>
      </c>
      <c r="N25" s="44" t="str">
        <f>IFERROR(VLOOKUP(B25,[4]PTCA!C:AK,33,0),"")</f>
        <v/>
      </c>
      <c r="O25" s="44" t="str">
        <f>IFERROR(VLOOKUP(B25,[4]PTCA!C:AK,34,0),"")</f>
        <v/>
      </c>
      <c r="P25" s="44" t="str">
        <f>IFERROR(VLOOKUP(B25,[4]PTCA!C:AK,35,0),"")</f>
        <v/>
      </c>
      <c r="Q25" s="47"/>
      <c r="R25" s="47" t="str">
        <f>IFERROR(VLOOKUP($B25,[4]PTCA!$C:$AJ,17,0),"")</f>
        <v/>
      </c>
      <c r="S25" s="48" t="str">
        <f>IFERROR(VLOOKUP($B25,[4]PTCA!$C:$AJ,23,0),"")</f>
        <v/>
      </c>
      <c r="T25" s="49" t="str">
        <f>IFERROR(VLOOKUP($B25,[4]PTCA!$C:$AJ,24,0),"")</f>
        <v/>
      </c>
      <c r="U25" s="47"/>
      <c r="V25" s="51"/>
      <c r="W25" s="52"/>
      <c r="X25" s="52" t="str">
        <f>IFERROR(VLOOKUP($B25,[4]PTCA!$C:$AJ,13,0),"")</f>
        <v/>
      </c>
      <c r="Y25" s="53" t="str">
        <f>IFERROR(VLOOKUP($B25,[4]PTCA!$C:$AJ,30,0),"")</f>
        <v/>
      </c>
      <c r="Z25" s="55"/>
      <c r="AA25" s="55"/>
      <c r="AB25" s="59"/>
      <c r="AC25" s="44" t="str">
        <f>IFERROR(VLOOKUP($B25,[4]PTCA!$C:$AJ,14,0),"")</f>
        <v/>
      </c>
      <c r="AD25" s="237" t="str">
        <f>IFERROR(VLOOKUP($B25,[4]PTCA!$C:$AJ,28,0),"")</f>
        <v/>
      </c>
      <c r="AE25" s="238"/>
      <c r="AF25" s="44" t="str">
        <f>IFERROR(VLOOKUP($B25,[4]PTCA!$C:$AJ,29,0),"")</f>
        <v/>
      </c>
      <c r="AG25" s="57"/>
      <c r="AH25" s="243"/>
      <c r="AI25" s="244"/>
      <c r="AJ25" s="31" t="str">
        <f t="shared" si="0"/>
        <v/>
      </c>
      <c r="AK25" s="32"/>
      <c r="AL25" s="33"/>
    </row>
    <row r="26" spans="1:38" s="31" customFormat="1" ht="17.649999999999999" customHeight="1">
      <c r="A26" s="58"/>
      <c r="B26" s="44"/>
      <c r="C26" s="235"/>
      <c r="D26" s="236"/>
      <c r="E26" s="44" t="str">
        <f>IFERROR(VLOOKUP($B26,[4]PTCA!$C:$I,6,0),"")</f>
        <v/>
      </c>
      <c r="F26" s="235" t="str">
        <f>IFERROR(VLOOKUP($B26,[4]PTCA!$C:$I,7,0),"")</f>
        <v/>
      </c>
      <c r="G26" s="236"/>
      <c r="H26" s="44" t="str">
        <f>IFERROR(VLOOKUP($B26,[4]PTCA!$C:$AJ,15,0),"")</f>
        <v/>
      </c>
      <c r="I26" s="45" t="str">
        <f>IFERROR(VLOOKUP($B26,[4]PTCA!$C:$AJ,10,0),"")</f>
        <v/>
      </c>
      <c r="J26" s="235" t="str">
        <f>IFERROR(VLOOKUP($B26,[4]PTCA!$C:$AJ,11,0),"")</f>
        <v/>
      </c>
      <c r="K26" s="236"/>
      <c r="L26" s="46" t="str">
        <f>IFERROR(VLOOKUP($B26,[4]PTCA!$C:$AJ,12,0),"")</f>
        <v/>
      </c>
      <c r="M26" s="44" t="str">
        <f>IFERROR(VLOOKUP(B26,[4]PTCA!C:AK,32,0),"")</f>
        <v/>
      </c>
      <c r="N26" s="44" t="str">
        <f>IFERROR(VLOOKUP(B26,[4]PTCA!C:AK,33,0),"")</f>
        <v/>
      </c>
      <c r="O26" s="44" t="str">
        <f>IFERROR(VLOOKUP(B26,[4]PTCA!C:AK,34,0),"")</f>
        <v/>
      </c>
      <c r="P26" s="44" t="str">
        <f>IFERROR(VLOOKUP(B26,[4]PTCA!C:AK,35,0),"")</f>
        <v/>
      </c>
      <c r="Q26" s="47"/>
      <c r="R26" s="47" t="str">
        <f>IFERROR(VLOOKUP($B26,[4]PTCA!$C:$AJ,17,0),"")</f>
        <v/>
      </c>
      <c r="S26" s="48" t="str">
        <f>IFERROR(VLOOKUP($B26,[4]PTCA!$C:$AJ,23,0),"")</f>
        <v/>
      </c>
      <c r="T26" s="49" t="str">
        <f>IFERROR(VLOOKUP($B26,[4]PTCA!$C:$AJ,24,0),"")</f>
        <v/>
      </c>
      <c r="U26" s="47"/>
      <c r="V26" s="51"/>
      <c r="W26" s="52"/>
      <c r="X26" s="52" t="str">
        <f>IFERROR(VLOOKUP($B26,[4]PTCA!$C:$AJ,13,0),"")</f>
        <v/>
      </c>
      <c r="Y26" s="53" t="str">
        <f>IFERROR(VLOOKUP($B26,[4]PTCA!$C:$AJ,30,0),"")</f>
        <v/>
      </c>
      <c r="Z26" s="55"/>
      <c r="AA26" s="55"/>
      <c r="AB26" s="59"/>
      <c r="AC26" s="44" t="str">
        <f>IFERROR(VLOOKUP($B26,[4]PTCA!$C:$AJ,14,0),"")</f>
        <v/>
      </c>
      <c r="AD26" s="237" t="str">
        <f>IFERROR(VLOOKUP($B26,[4]PTCA!$C:$AJ,28,0),"")</f>
        <v/>
      </c>
      <c r="AE26" s="238"/>
      <c r="AF26" s="44" t="str">
        <f>IFERROR(VLOOKUP($B26,[4]PTCA!$C:$AJ,29,0),"")</f>
        <v/>
      </c>
      <c r="AG26" s="57"/>
      <c r="AH26" s="243"/>
      <c r="AI26" s="244"/>
      <c r="AJ26" s="31" t="str">
        <f t="shared" si="0"/>
        <v/>
      </c>
      <c r="AK26" s="32"/>
      <c r="AL26" s="33"/>
    </row>
    <row r="27" spans="1:38" s="31" customFormat="1" ht="17.649999999999999" customHeight="1">
      <c r="A27" s="58"/>
      <c r="B27" s="44"/>
      <c r="C27" s="235"/>
      <c r="D27" s="236"/>
      <c r="E27" s="44" t="str">
        <f>IFERROR(VLOOKUP($B27,[4]PTCA!$C:$I,6,0),"")</f>
        <v/>
      </c>
      <c r="F27" s="235" t="str">
        <f>IFERROR(VLOOKUP($B27,[4]PTCA!$C:$I,7,0),"")</f>
        <v/>
      </c>
      <c r="G27" s="236"/>
      <c r="H27" s="44" t="str">
        <f>IFERROR(VLOOKUP($B27,[4]PTCA!$C:$AJ,15,0),"")</f>
        <v/>
      </c>
      <c r="I27" s="45" t="str">
        <f>IFERROR(VLOOKUP($B27,[4]PTCA!$C:$AJ,10,0),"")</f>
        <v/>
      </c>
      <c r="J27" s="235" t="str">
        <f>IFERROR(VLOOKUP($B27,[4]PTCA!$C:$AJ,11,0),"")</f>
        <v/>
      </c>
      <c r="K27" s="236"/>
      <c r="L27" s="46" t="str">
        <f>IFERROR(VLOOKUP($B27,[4]PTCA!$C:$AJ,12,0),"")</f>
        <v/>
      </c>
      <c r="M27" s="44" t="str">
        <f>IFERROR(VLOOKUP(B27,[4]PTCA!C:AK,32,0),"")</f>
        <v/>
      </c>
      <c r="N27" s="44" t="str">
        <f>IFERROR(VLOOKUP(B27,[4]PTCA!C:AK,33,0),"")</f>
        <v/>
      </c>
      <c r="O27" s="44" t="str">
        <f>IFERROR(VLOOKUP(B27,[4]PTCA!C:AK,34,0),"")</f>
        <v/>
      </c>
      <c r="P27" s="44" t="str">
        <f>IFERROR(VLOOKUP(B27,[4]PTCA!C:AK,35,0),"")</f>
        <v/>
      </c>
      <c r="Q27" s="47"/>
      <c r="R27" s="47" t="str">
        <f>IFERROR(VLOOKUP($B27,[4]PTCA!$C:$AJ,17,0),"")</f>
        <v/>
      </c>
      <c r="S27" s="48" t="str">
        <f>IFERROR(VLOOKUP($B27,[4]PTCA!$C:$AJ,23,0),"")</f>
        <v/>
      </c>
      <c r="T27" s="49" t="str">
        <f>IFERROR(VLOOKUP($B27,[4]PTCA!$C:$AJ,24,0),"")</f>
        <v/>
      </c>
      <c r="U27" s="47"/>
      <c r="V27" s="51"/>
      <c r="W27" s="52"/>
      <c r="X27" s="52" t="str">
        <f>IFERROR(VLOOKUP($B27,[4]PTCA!$C:$AJ,13,0),"")</f>
        <v/>
      </c>
      <c r="Y27" s="53" t="str">
        <f>IFERROR(VLOOKUP($B27,[4]PTCA!$C:$AJ,30,0),"")</f>
        <v/>
      </c>
      <c r="Z27" s="55"/>
      <c r="AA27" s="55"/>
      <c r="AB27" s="59"/>
      <c r="AC27" s="44" t="str">
        <f>IFERROR(VLOOKUP($B27,[4]PTCA!$C:$AJ,14,0),"")</f>
        <v/>
      </c>
      <c r="AD27" s="237" t="str">
        <f>IFERROR(VLOOKUP($B27,[4]PTCA!$C:$AJ,28,0),"")</f>
        <v/>
      </c>
      <c r="AE27" s="238"/>
      <c r="AF27" s="44" t="str">
        <f>IFERROR(VLOOKUP($B27,[4]PTCA!$C:$AJ,29,0),"")</f>
        <v/>
      </c>
      <c r="AG27" s="57"/>
      <c r="AH27" s="61"/>
      <c r="AI27" s="62"/>
      <c r="AJ27" s="31" t="str">
        <f t="shared" si="0"/>
        <v/>
      </c>
      <c r="AK27" s="32"/>
      <c r="AL27" s="33"/>
    </row>
    <row r="28" spans="1:38" s="31" customFormat="1" ht="17.649999999999999" customHeight="1">
      <c r="A28" s="58"/>
      <c r="B28" s="44"/>
      <c r="C28" s="235"/>
      <c r="D28" s="236"/>
      <c r="E28" s="44" t="str">
        <f>IFERROR(VLOOKUP($B28,[4]PTCA!$C:$I,6,0),"")</f>
        <v/>
      </c>
      <c r="F28" s="235" t="str">
        <f>IFERROR(VLOOKUP($B28,[4]PTCA!$C:$I,7,0),"")</f>
        <v/>
      </c>
      <c r="G28" s="236"/>
      <c r="H28" s="44" t="str">
        <f>IFERROR(VLOOKUP($B28,[4]PTCA!$C:$AJ,15,0),"")</f>
        <v/>
      </c>
      <c r="I28" s="45" t="str">
        <f>IFERROR(VLOOKUP($B28,[4]PTCA!$C:$AJ,10,0),"")</f>
        <v/>
      </c>
      <c r="J28" s="235" t="str">
        <f>IFERROR(VLOOKUP($B28,[4]PTCA!$C:$AJ,11,0),"")</f>
        <v/>
      </c>
      <c r="K28" s="236"/>
      <c r="L28" s="46" t="str">
        <f>IFERROR(VLOOKUP($B28,[4]PTCA!$C:$AJ,12,0),"")</f>
        <v/>
      </c>
      <c r="M28" s="44" t="str">
        <f>IFERROR(VLOOKUP(B28,[4]PTCA!C:AK,32,0),"")</f>
        <v/>
      </c>
      <c r="N28" s="44" t="str">
        <f>IFERROR(VLOOKUP(B28,[4]PTCA!C:AK,33,0),"")</f>
        <v/>
      </c>
      <c r="O28" s="44" t="str">
        <f>IFERROR(VLOOKUP(B28,[4]PTCA!C:AK,34,0),"")</f>
        <v/>
      </c>
      <c r="P28" s="44" t="str">
        <f>IFERROR(VLOOKUP(B28,[4]PTCA!C:AK,35,0),"")</f>
        <v/>
      </c>
      <c r="Q28" s="47"/>
      <c r="R28" s="47" t="str">
        <f>IFERROR(VLOOKUP($B28,[4]PTCA!$C:$AJ,17,0),"")</f>
        <v/>
      </c>
      <c r="S28" s="48" t="str">
        <f>IFERROR(VLOOKUP($B28,[4]PTCA!$C:$AJ,23,0),"")</f>
        <v/>
      </c>
      <c r="T28" s="49" t="str">
        <f>IFERROR(VLOOKUP($B28,[4]PTCA!$C:$AJ,24,0),"")</f>
        <v/>
      </c>
      <c r="U28" s="47"/>
      <c r="V28" s="63"/>
      <c r="W28" s="52"/>
      <c r="X28" s="52" t="str">
        <f>IFERROR(VLOOKUP($B28,[4]PTCA!$C:$AJ,13,0),"")</f>
        <v/>
      </c>
      <c r="Y28" s="53" t="str">
        <f>IFERROR(VLOOKUP($B28,[4]PTCA!$C:$AJ,30,0),"")</f>
        <v/>
      </c>
      <c r="Z28" s="55"/>
      <c r="AA28" s="55"/>
      <c r="AB28" s="44"/>
      <c r="AC28" s="44" t="str">
        <f>IFERROR(VLOOKUP($B28,[4]PTCA!$C:$AJ,14,0),"")</f>
        <v/>
      </c>
      <c r="AD28" s="237" t="str">
        <f>IFERROR(VLOOKUP($B28,[4]PTCA!$C:$AJ,28,0),"")</f>
        <v/>
      </c>
      <c r="AE28" s="238"/>
      <c r="AF28" s="44" t="str">
        <f>IFERROR(VLOOKUP($B28,[4]PTCA!$C:$AJ,29,0),"")</f>
        <v/>
      </c>
      <c r="AG28" s="57"/>
      <c r="AH28" s="61"/>
      <c r="AI28" s="62"/>
      <c r="AJ28" s="31" t="str">
        <f t="shared" si="0"/>
        <v/>
      </c>
      <c r="AK28" s="32"/>
      <c r="AL28" s="33"/>
    </row>
    <row r="29" spans="1:38" s="31" customFormat="1" ht="17.649999999999999" customHeight="1">
      <c r="A29" s="58"/>
      <c r="B29" s="44"/>
      <c r="C29" s="235"/>
      <c r="D29" s="236"/>
      <c r="E29" s="44" t="str">
        <f>IFERROR(VLOOKUP($B29,[4]PTCA!$C:$I,6,0),"")</f>
        <v/>
      </c>
      <c r="F29" s="235" t="str">
        <f>IFERROR(VLOOKUP($B29,[4]PTCA!$C:$I,7,0),"")</f>
        <v/>
      </c>
      <c r="G29" s="236"/>
      <c r="H29" s="44" t="str">
        <f>IFERROR(VLOOKUP($B29,[4]PTCA!$C:$AJ,15,0),"")</f>
        <v/>
      </c>
      <c r="I29" s="45" t="str">
        <f>IFERROR(VLOOKUP($B29,[4]PTCA!$C:$AJ,10,0),"")</f>
        <v/>
      </c>
      <c r="J29" s="235" t="str">
        <f>IFERROR(VLOOKUP($B29,[4]PTCA!$C:$AJ,11,0),"")</f>
        <v/>
      </c>
      <c r="K29" s="236"/>
      <c r="L29" s="46" t="str">
        <f>IFERROR(VLOOKUP($B29,[4]PTCA!$C:$AJ,12,0),"")</f>
        <v/>
      </c>
      <c r="M29" s="44" t="str">
        <f>IFERROR(VLOOKUP(B29,[4]PTCA!C:AK,32,0),"")</f>
        <v/>
      </c>
      <c r="N29" s="44" t="str">
        <f>IFERROR(VLOOKUP(B29,[4]PTCA!C:AK,33,0),"")</f>
        <v/>
      </c>
      <c r="O29" s="44" t="str">
        <f>IFERROR(VLOOKUP(B29,[4]PTCA!C:AK,34,0),"")</f>
        <v/>
      </c>
      <c r="P29" s="44" t="str">
        <f>IFERROR(VLOOKUP(B29,[4]PTCA!C:AK,35,0),"")</f>
        <v/>
      </c>
      <c r="Q29" s="64"/>
      <c r="R29" s="47" t="str">
        <f>IFERROR(VLOOKUP($B29,[4]PTCA!$C:$AJ,17,0),"")</f>
        <v/>
      </c>
      <c r="S29" s="48" t="str">
        <f>IFERROR(VLOOKUP($B29,[4]PTCA!$C:$AJ,23,0),"")</f>
        <v/>
      </c>
      <c r="T29" s="49" t="str">
        <f>IFERROR(VLOOKUP($B29,[4]PTCA!$C:$AJ,24,0),"")</f>
        <v/>
      </c>
      <c r="U29" s="64"/>
      <c r="V29" s="65"/>
      <c r="W29" s="66"/>
      <c r="X29" s="52" t="str">
        <f>IFERROR(VLOOKUP($B29,[4]PTCA!$C:$AJ,13,0),"")</f>
        <v/>
      </c>
      <c r="Y29" s="53" t="str">
        <f>IFERROR(VLOOKUP($B29,[4]PTCA!$C:$AJ,30,0),"")</f>
        <v/>
      </c>
      <c r="Z29" s="67"/>
      <c r="AA29" s="67"/>
      <c r="AB29" s="68"/>
      <c r="AC29" s="44" t="str">
        <f>IFERROR(VLOOKUP($B29,[4]PTCA!$C:$AJ,14,0),"")</f>
        <v/>
      </c>
      <c r="AD29" s="237" t="str">
        <f>IFERROR(VLOOKUP($B29,[4]PTCA!$C:$AJ,28,0),"")</f>
        <v/>
      </c>
      <c r="AE29" s="238"/>
      <c r="AF29" s="44" t="str">
        <f>IFERROR(VLOOKUP($B29,[4]PTCA!$C:$AJ,29,0),"")</f>
        <v/>
      </c>
      <c r="AG29" s="69"/>
      <c r="AH29" s="239"/>
      <c r="AI29" s="240"/>
      <c r="AJ29" s="31" t="str">
        <f t="shared" si="0"/>
        <v/>
      </c>
      <c r="AK29" s="32"/>
      <c r="AL29" s="33"/>
    </row>
    <row r="30" spans="1:38" s="31" customFormat="1" ht="17.649999999999999" customHeight="1">
      <c r="A30" s="58"/>
      <c r="B30" s="44"/>
      <c r="C30" s="235"/>
      <c r="D30" s="236"/>
      <c r="E30" s="44" t="str">
        <f>IFERROR(VLOOKUP($B30,[4]PTCA!$C:$I,6,0),"")</f>
        <v/>
      </c>
      <c r="F30" s="235" t="str">
        <f>IFERROR(VLOOKUP($B30,[4]PTCA!$C:$I,7,0),"")</f>
        <v/>
      </c>
      <c r="G30" s="236"/>
      <c r="H30" s="44" t="str">
        <f>IFERROR(VLOOKUP($B30,[4]PTCA!$C:$AJ,15,0),"")</f>
        <v/>
      </c>
      <c r="I30" s="45" t="str">
        <f>IFERROR(VLOOKUP($B30,[4]PTCA!$C:$AJ,10,0),"")</f>
        <v/>
      </c>
      <c r="J30" s="235" t="str">
        <f>IFERROR(VLOOKUP($B30,[4]PTCA!$C:$AJ,11,0),"")</f>
        <v/>
      </c>
      <c r="K30" s="236"/>
      <c r="L30" s="46" t="str">
        <f>IFERROR(VLOOKUP($B30,[4]PTCA!$C:$AJ,12,0),"")</f>
        <v/>
      </c>
      <c r="M30" s="44" t="str">
        <f>IFERROR(VLOOKUP(B30,[4]PTCA!C:AK,32,0),"")</f>
        <v/>
      </c>
      <c r="N30" s="44" t="str">
        <f>IFERROR(VLOOKUP(B30,[4]PTCA!C:AK,33,0),"")</f>
        <v/>
      </c>
      <c r="O30" s="44" t="str">
        <f>IFERROR(VLOOKUP(B30,[4]PTCA!C:AK,34,0),"")</f>
        <v/>
      </c>
      <c r="P30" s="44" t="str">
        <f>IFERROR(VLOOKUP(B30,[4]PTCA!C:AK,35,0),"")</f>
        <v/>
      </c>
      <c r="Q30" s="70"/>
      <c r="R30" s="47" t="str">
        <f>IFERROR(VLOOKUP($B30,[4]PTCA!$C:$AJ,17,0),"")</f>
        <v/>
      </c>
      <c r="S30" s="48" t="str">
        <f>IFERROR(VLOOKUP($B30,[4]PTCA!$C:$AJ,23,0),"")</f>
        <v/>
      </c>
      <c r="T30" s="49" t="str">
        <f>IFERROR(VLOOKUP($B30,[4]PTCA!$C:$AJ,24,0),"")</f>
        <v/>
      </c>
      <c r="U30" s="70"/>
      <c r="V30" s="71"/>
      <c r="W30" s="72"/>
      <c r="X30" s="52" t="str">
        <f>IFERROR(VLOOKUP($B30,[4]PTCA!$C:$AJ,13,0),"")</f>
        <v/>
      </c>
      <c r="Y30" s="53" t="str">
        <f>IFERROR(VLOOKUP($B30,[4]PTCA!$C:$AJ,30,0),"")</f>
        <v/>
      </c>
      <c r="Z30" s="73"/>
      <c r="AA30" s="73"/>
      <c r="AB30" s="74"/>
      <c r="AC30" s="44" t="str">
        <f>IFERROR(VLOOKUP($B30,[4]PTCA!$C:$AJ,14,0),"")</f>
        <v/>
      </c>
      <c r="AD30" s="237" t="str">
        <f>IFERROR(VLOOKUP($B30,[4]PTCA!$C:$AJ,28,0),"")</f>
        <v/>
      </c>
      <c r="AE30" s="238"/>
      <c r="AF30" s="44" t="str">
        <f>IFERROR(VLOOKUP($B30,[4]PTCA!$C:$AJ,29,0),"")</f>
        <v/>
      </c>
      <c r="AG30" s="75"/>
      <c r="AH30" s="241"/>
      <c r="AI30" s="242"/>
      <c r="AJ30" s="31" t="str">
        <f t="shared" si="0"/>
        <v/>
      </c>
      <c r="AK30" s="32"/>
      <c r="AL30" s="33"/>
    </row>
    <row r="31" spans="1:38" ht="3.4" customHeight="1">
      <c r="A31" s="76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8"/>
    </row>
    <row r="32" spans="1:38" s="9" customFormat="1" ht="24" customHeight="1">
      <c r="A32" s="208" t="s">
        <v>70</v>
      </c>
      <c r="B32" s="209"/>
      <c r="C32" s="209"/>
      <c r="D32" s="209"/>
      <c r="E32" s="209"/>
      <c r="F32" s="209"/>
      <c r="G32" s="209"/>
      <c r="H32" s="210"/>
      <c r="I32" s="217" t="s">
        <v>71</v>
      </c>
      <c r="J32" s="218"/>
      <c r="K32" s="218"/>
      <c r="L32" s="218"/>
      <c r="M32" s="218"/>
      <c r="N32" s="218"/>
      <c r="O32" s="219"/>
      <c r="P32" s="185" t="s">
        <v>72</v>
      </c>
      <c r="Q32" s="187"/>
      <c r="R32" s="226" t="s">
        <v>73</v>
      </c>
      <c r="S32" s="227"/>
      <c r="T32" s="227"/>
      <c r="U32" s="227"/>
      <c r="V32" s="227"/>
      <c r="W32" s="185" t="s">
        <v>74</v>
      </c>
      <c r="X32" s="187"/>
      <c r="Y32" s="205" t="s">
        <v>75</v>
      </c>
      <c r="Z32" s="206"/>
      <c r="AA32" s="206"/>
      <c r="AB32" s="206"/>
      <c r="AC32" s="228"/>
      <c r="AD32" s="199" t="s">
        <v>76</v>
      </c>
      <c r="AE32" s="200"/>
      <c r="AF32" s="200"/>
      <c r="AG32" s="201"/>
      <c r="AH32" s="185" t="s">
        <v>74</v>
      </c>
      <c r="AI32" s="191"/>
    </row>
    <row r="33" spans="1:41" s="9" customFormat="1" ht="24" customHeight="1">
      <c r="A33" s="211"/>
      <c r="B33" s="212"/>
      <c r="C33" s="212"/>
      <c r="D33" s="212"/>
      <c r="E33" s="212"/>
      <c r="F33" s="212"/>
      <c r="G33" s="212"/>
      <c r="H33" s="213"/>
      <c r="I33" s="220"/>
      <c r="J33" s="221"/>
      <c r="K33" s="221"/>
      <c r="L33" s="221"/>
      <c r="M33" s="221"/>
      <c r="N33" s="221"/>
      <c r="O33" s="222"/>
      <c r="P33" s="188"/>
      <c r="Q33" s="190"/>
      <c r="R33" s="202" t="s">
        <v>77</v>
      </c>
      <c r="S33" s="203"/>
      <c r="T33" s="79"/>
      <c r="U33" s="202" t="s">
        <v>78</v>
      </c>
      <c r="V33" s="203"/>
      <c r="W33" s="188"/>
      <c r="X33" s="190"/>
      <c r="Y33" s="205" t="s">
        <v>77</v>
      </c>
      <c r="Z33" s="206"/>
      <c r="AA33" s="206"/>
      <c r="AB33" s="207" t="s">
        <v>78</v>
      </c>
      <c r="AC33" s="207"/>
      <c r="AD33" s="202"/>
      <c r="AE33" s="203"/>
      <c r="AF33" s="203"/>
      <c r="AG33" s="204"/>
      <c r="AH33" s="188"/>
      <c r="AI33" s="192"/>
    </row>
    <row r="34" spans="1:41" s="9" customFormat="1" ht="25.5" customHeight="1">
      <c r="A34" s="211"/>
      <c r="B34" s="212"/>
      <c r="C34" s="212"/>
      <c r="D34" s="212"/>
      <c r="E34" s="212"/>
      <c r="F34" s="212"/>
      <c r="G34" s="212"/>
      <c r="H34" s="213"/>
      <c r="I34" s="220"/>
      <c r="J34" s="221"/>
      <c r="K34" s="221"/>
      <c r="L34" s="221"/>
      <c r="M34" s="221"/>
      <c r="N34" s="221"/>
      <c r="O34" s="222"/>
      <c r="P34" s="229" t="s">
        <v>79</v>
      </c>
      <c r="Q34" s="230"/>
      <c r="R34" s="231"/>
      <c r="S34" s="232"/>
      <c r="T34" s="80"/>
      <c r="U34" s="231"/>
      <c r="V34" s="233"/>
      <c r="W34" s="81"/>
      <c r="X34" s="81"/>
      <c r="Y34" s="82"/>
      <c r="Z34" s="83"/>
      <c r="AA34" s="83"/>
      <c r="AB34" s="234"/>
      <c r="AC34" s="234"/>
      <c r="AD34" s="185" t="s">
        <v>80</v>
      </c>
      <c r="AE34" s="186"/>
      <c r="AF34" s="186"/>
      <c r="AG34" s="187"/>
      <c r="AH34" s="185"/>
      <c r="AI34" s="191"/>
    </row>
    <row r="35" spans="1:41" s="9" customFormat="1" ht="25.5" customHeight="1">
      <c r="A35" s="214"/>
      <c r="B35" s="215"/>
      <c r="C35" s="215"/>
      <c r="D35" s="215"/>
      <c r="E35" s="215"/>
      <c r="F35" s="215"/>
      <c r="G35" s="215"/>
      <c r="H35" s="216"/>
      <c r="I35" s="223"/>
      <c r="J35" s="224"/>
      <c r="K35" s="224"/>
      <c r="L35" s="224"/>
      <c r="M35" s="224"/>
      <c r="N35" s="224"/>
      <c r="O35" s="225"/>
      <c r="P35" s="193" t="s">
        <v>81</v>
      </c>
      <c r="Q35" s="194"/>
      <c r="R35" s="195"/>
      <c r="S35" s="196"/>
      <c r="T35" s="84"/>
      <c r="U35" s="195"/>
      <c r="V35" s="197"/>
      <c r="W35" s="85"/>
      <c r="X35" s="85"/>
      <c r="Y35" s="86"/>
      <c r="Z35" s="87"/>
      <c r="AA35" s="87"/>
      <c r="AB35" s="198"/>
      <c r="AC35" s="198"/>
      <c r="AD35" s="188"/>
      <c r="AE35" s="189"/>
      <c r="AF35" s="189"/>
      <c r="AG35" s="190"/>
      <c r="AH35" s="188"/>
      <c r="AI35" s="192"/>
    </row>
    <row r="36" spans="1:41" ht="21" customHeight="1">
      <c r="A36" s="88"/>
      <c r="B36" s="89"/>
      <c r="C36" s="89"/>
      <c r="D36" s="89"/>
      <c r="E36" s="89"/>
      <c r="F36" s="90"/>
      <c r="G36" s="90"/>
      <c r="H36" s="90"/>
      <c r="I36" s="89"/>
      <c r="J36" s="89"/>
      <c r="K36" s="89"/>
      <c r="L36" s="89"/>
      <c r="M36" s="89"/>
      <c r="N36" s="89"/>
      <c r="O36" s="90"/>
      <c r="P36" s="90"/>
      <c r="Q36" s="90"/>
      <c r="R36" s="90"/>
      <c r="S36" s="90"/>
      <c r="T36" s="90"/>
      <c r="U36" s="90"/>
      <c r="V36" s="89"/>
      <c r="W36" s="89"/>
      <c r="X36" s="89"/>
      <c r="Y36" s="89"/>
      <c r="Z36" s="91"/>
      <c r="AA36" s="91"/>
      <c r="AB36" s="91"/>
      <c r="AC36" s="91"/>
      <c r="AD36" s="91"/>
      <c r="AE36" s="91"/>
      <c r="AF36" s="91"/>
      <c r="AG36" s="91"/>
      <c r="AH36" s="91"/>
      <c r="AI36" s="92"/>
      <c r="AO36" s="93"/>
    </row>
    <row r="37" spans="1:41" ht="26.1" customHeight="1">
      <c r="A37" s="88"/>
      <c r="B37" s="89"/>
      <c r="C37" s="89"/>
      <c r="D37" s="89"/>
      <c r="E37" s="89"/>
      <c r="F37" s="90"/>
      <c r="G37" s="90"/>
      <c r="H37" s="90"/>
      <c r="I37" s="89"/>
      <c r="J37" s="89"/>
      <c r="K37" s="89"/>
      <c r="L37" s="89"/>
      <c r="M37" s="89"/>
      <c r="N37" s="89"/>
      <c r="O37" s="90"/>
      <c r="P37" s="90"/>
      <c r="Q37" s="90"/>
      <c r="R37" s="90"/>
      <c r="S37" s="90"/>
      <c r="T37" s="90"/>
      <c r="U37" s="90"/>
      <c r="V37" s="89"/>
      <c r="W37" s="89"/>
      <c r="X37" s="89"/>
      <c r="Y37" s="89"/>
      <c r="Z37" s="91"/>
      <c r="AA37" s="91"/>
      <c r="AB37" s="91"/>
      <c r="AC37" s="91"/>
      <c r="AD37" s="91"/>
      <c r="AE37" s="91"/>
      <c r="AF37" s="91"/>
      <c r="AG37" s="91"/>
      <c r="AH37" s="91"/>
      <c r="AI37" s="92"/>
    </row>
    <row r="38" spans="1:41" ht="33" customHeight="1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I38" s="4"/>
    </row>
    <row r="39" spans="1:41" ht="21" customHeight="1">
      <c r="A39" s="24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I39" s="4"/>
    </row>
    <row r="40" spans="1:41" ht="10.9" customHeight="1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I40" s="4"/>
    </row>
    <row r="41" spans="1:41" s="105" customFormat="1" ht="11.25" customHeight="1">
      <c r="A41" s="94"/>
      <c r="B41" s="95"/>
      <c r="C41" s="96"/>
      <c r="D41" s="95"/>
      <c r="E41" s="97"/>
      <c r="F41" s="97"/>
      <c r="G41" s="97"/>
      <c r="H41" s="98"/>
      <c r="I41" s="97"/>
      <c r="J41" s="99"/>
      <c r="K41" s="99"/>
      <c r="L41" s="97"/>
      <c r="M41" s="97"/>
      <c r="N41" s="97"/>
      <c r="O41" s="100"/>
      <c r="P41" s="97"/>
      <c r="Q41" s="97"/>
      <c r="R41" s="97"/>
      <c r="S41" s="101"/>
      <c r="T41" s="101"/>
      <c r="U41" s="102"/>
      <c r="V41" s="97"/>
      <c r="W41" s="97"/>
      <c r="X41" s="97"/>
      <c r="Y41" s="97"/>
      <c r="Z41" s="97"/>
      <c r="AA41" s="97"/>
      <c r="AB41" s="97"/>
      <c r="AC41" s="103"/>
      <c r="AD41" s="103"/>
      <c r="AE41" s="103"/>
      <c r="AF41" s="103"/>
      <c r="AG41" s="97"/>
      <c r="AH41" s="97"/>
      <c r="AI41" s="104"/>
      <c r="AK41" s="2"/>
      <c r="AL41" s="2"/>
      <c r="AN41" s="1"/>
    </row>
    <row r="42" spans="1:41" s="105" customFormat="1" ht="20.100000000000001" customHeight="1">
      <c r="A42" s="106" t="s">
        <v>82</v>
      </c>
      <c r="B42" s="107"/>
      <c r="C42" s="108"/>
      <c r="D42" s="109"/>
      <c r="E42" s="110"/>
      <c r="F42" s="110"/>
      <c r="G42" s="110"/>
      <c r="H42" s="111"/>
      <c r="I42" s="110"/>
      <c r="J42" s="110"/>
      <c r="K42" s="110"/>
      <c r="L42" s="110"/>
      <c r="M42" s="110"/>
      <c r="N42" s="110"/>
      <c r="O42" s="112"/>
      <c r="P42" s="112"/>
      <c r="Q42" s="112"/>
      <c r="R42" s="112"/>
      <c r="S42" s="112"/>
      <c r="T42" s="113"/>
      <c r="U42" s="162" t="s">
        <v>83</v>
      </c>
      <c r="V42" s="162"/>
      <c r="W42" s="162"/>
      <c r="X42" s="114" t="s">
        <v>84</v>
      </c>
      <c r="Y42" s="115"/>
      <c r="Z42" s="115"/>
      <c r="AA42" s="115"/>
      <c r="AB42" s="115"/>
      <c r="AC42" s="116"/>
      <c r="AD42" s="116"/>
      <c r="AE42" s="116"/>
      <c r="AF42" s="116"/>
      <c r="AG42" s="115"/>
      <c r="AH42" s="115"/>
      <c r="AI42" s="117"/>
      <c r="AK42" s="2"/>
      <c r="AL42" s="2"/>
      <c r="AN42" s="1"/>
    </row>
    <row r="43" spans="1:41" s="105" customFormat="1" ht="20.100000000000001" customHeight="1">
      <c r="A43" s="118" t="s">
        <v>85</v>
      </c>
      <c r="B43" s="119"/>
      <c r="C43" s="120"/>
      <c r="D43" s="121"/>
      <c r="H43" s="122"/>
      <c r="O43" s="123"/>
      <c r="P43" s="123"/>
      <c r="Q43" s="123"/>
      <c r="R43" s="123"/>
      <c r="S43" s="123"/>
      <c r="T43" s="124"/>
      <c r="U43" s="163" t="s">
        <v>86</v>
      </c>
      <c r="V43" s="163"/>
      <c r="W43" s="163"/>
      <c r="X43" s="125" t="s">
        <v>87</v>
      </c>
      <c r="Y43" s="126"/>
      <c r="Z43" s="126"/>
      <c r="AA43" s="126"/>
      <c r="AB43" s="126"/>
      <c r="AC43" s="127"/>
      <c r="AD43" s="127"/>
      <c r="AE43" s="127"/>
      <c r="AF43" s="127"/>
      <c r="AG43" s="126"/>
      <c r="AH43" s="126"/>
      <c r="AI43" s="128"/>
      <c r="AK43" s="2"/>
      <c r="AL43" s="2"/>
      <c r="AN43" s="1"/>
    </row>
    <row r="44" spans="1:41" s="105" customFormat="1" ht="24.6" customHeight="1">
      <c r="A44" s="118" t="s">
        <v>88</v>
      </c>
      <c r="B44" s="119"/>
      <c r="C44" s="120"/>
      <c r="D44" s="121"/>
      <c r="H44" s="122"/>
      <c r="O44" s="123"/>
      <c r="P44" s="123"/>
      <c r="Q44" s="123"/>
      <c r="R44" s="123"/>
      <c r="S44" s="123"/>
      <c r="T44" s="124"/>
      <c r="U44" s="164" t="str">
        <f>IF(COUNTIF(H11:H30,"USA")+COUNTIF(H11:H30,"China")+COUNTIF(H11:H30,"Abbott")+COUNTIF(H11:H30,"Australia")&gt;0,"","N/A")</f>
        <v>N/A</v>
      </c>
      <c r="V44" s="164"/>
      <c r="W44" s="164"/>
      <c r="X44" s="166" t="s">
        <v>89</v>
      </c>
      <c r="Y44" s="167"/>
      <c r="Z44" s="167"/>
      <c r="AA44" s="168"/>
      <c r="AB44" s="129" t="s">
        <v>90</v>
      </c>
      <c r="AC44" s="129"/>
      <c r="AD44" s="130"/>
      <c r="AE44" s="169" t="s">
        <v>91</v>
      </c>
      <c r="AF44" s="170"/>
      <c r="AG44" s="171"/>
      <c r="AH44" s="172" t="s">
        <v>38</v>
      </c>
      <c r="AI44" s="173"/>
      <c r="AK44" s="2"/>
      <c r="AL44" s="2"/>
      <c r="AN44" s="1"/>
    </row>
    <row r="45" spans="1:41" s="105" customFormat="1" ht="24.6" customHeight="1">
      <c r="A45" s="131"/>
      <c r="B45" s="132"/>
      <c r="C45" s="122"/>
      <c r="H45" s="122"/>
      <c r="O45" s="123"/>
      <c r="P45" s="123"/>
      <c r="Q45" s="123"/>
      <c r="R45" s="123"/>
      <c r="S45" s="123"/>
      <c r="T45" s="124"/>
      <c r="U45" s="164"/>
      <c r="V45" s="164"/>
      <c r="W45" s="164"/>
      <c r="X45" s="174" t="s">
        <v>92</v>
      </c>
      <c r="Y45" s="175"/>
      <c r="Z45" s="175"/>
      <c r="AA45" s="176"/>
      <c r="AB45" s="177" t="str">
        <f>IF($U$44="N/A","N/A","")</f>
        <v>N/A</v>
      </c>
      <c r="AC45" s="178"/>
      <c r="AD45" s="179"/>
      <c r="AE45" s="180" t="str">
        <f>IF($U$44="N/A","N/A","")</f>
        <v>N/A</v>
      </c>
      <c r="AF45" s="181"/>
      <c r="AG45" s="182"/>
      <c r="AH45" s="183">
        <f>SUM($S$11:$S$30)+SUM($T$11:$T$30)</f>
        <v>0</v>
      </c>
      <c r="AI45" s="153" t="s">
        <v>93</v>
      </c>
      <c r="AK45" s="2"/>
      <c r="AL45" s="2"/>
    </row>
    <row r="46" spans="1:41" s="105" customFormat="1" ht="24.6" customHeight="1" thickBot="1">
      <c r="A46" s="133"/>
      <c r="B46" s="134"/>
      <c r="C46" s="135"/>
      <c r="D46" s="155"/>
      <c r="E46" s="155"/>
      <c r="F46" s="155"/>
      <c r="G46" s="155"/>
      <c r="H46" s="155"/>
      <c r="I46" s="155"/>
      <c r="J46" s="155"/>
      <c r="K46" s="136"/>
      <c r="L46" s="155"/>
      <c r="M46" s="155"/>
      <c r="N46" s="137"/>
      <c r="O46" s="138"/>
      <c r="P46" s="138"/>
      <c r="Q46" s="138"/>
      <c r="R46" s="138"/>
      <c r="S46" s="138"/>
      <c r="T46" s="139"/>
      <c r="U46" s="165"/>
      <c r="V46" s="165"/>
      <c r="W46" s="165"/>
      <c r="X46" s="156" t="s">
        <v>94</v>
      </c>
      <c r="Y46" s="157"/>
      <c r="Z46" s="157"/>
      <c r="AA46" s="158"/>
      <c r="AB46" s="159" t="str">
        <f>IF($U$44="N/A","N/A","")</f>
        <v>N/A</v>
      </c>
      <c r="AC46" s="160"/>
      <c r="AD46" s="161"/>
      <c r="AE46" s="159" t="str">
        <f>IF($U$44="N/A","N/A","")</f>
        <v>N/A</v>
      </c>
      <c r="AF46" s="160"/>
      <c r="AG46" s="161"/>
      <c r="AH46" s="184"/>
      <c r="AI46" s="154"/>
      <c r="AK46" s="2"/>
      <c r="AL46" s="2"/>
    </row>
    <row r="47" spans="1:41" s="105" customFormat="1" ht="3.75" customHeight="1">
      <c r="A47" s="140"/>
      <c r="B47" s="141"/>
      <c r="C47" s="141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3"/>
      <c r="O47" s="144"/>
      <c r="P47" s="144"/>
      <c r="Q47" s="144"/>
      <c r="R47" s="144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6"/>
      <c r="AF47" s="146"/>
      <c r="AG47" s="146"/>
      <c r="AH47" s="146"/>
      <c r="AI47" s="146"/>
      <c r="AK47" s="2"/>
      <c r="AL47" s="2"/>
    </row>
    <row r="48" spans="1:41">
      <c r="A48" s="147" t="s">
        <v>95</v>
      </c>
      <c r="B48" s="148"/>
      <c r="C48" s="149"/>
      <c r="D48" s="148"/>
      <c r="E48" s="148"/>
      <c r="F48" s="150"/>
      <c r="G48" s="150"/>
      <c r="H48" s="149"/>
      <c r="I48" s="148"/>
      <c r="J48" s="148"/>
      <c r="K48" s="148"/>
      <c r="L48" s="151"/>
      <c r="M48" s="151"/>
      <c r="N48" s="25"/>
      <c r="O48" s="25"/>
      <c r="P48" s="25"/>
      <c r="Q48" s="25"/>
      <c r="R48" s="25"/>
      <c r="S48" s="25"/>
      <c r="T48" s="25"/>
      <c r="U48" s="151" t="s">
        <v>96</v>
      </c>
      <c r="V48" s="25"/>
      <c r="W48" s="152"/>
      <c r="X48" s="152"/>
      <c r="Y48" s="25"/>
      <c r="Z48" s="25"/>
      <c r="AA48" s="25"/>
      <c r="AB48" s="25"/>
      <c r="AC48" s="25"/>
      <c r="AD48" s="25"/>
      <c r="AE48" s="25"/>
    </row>
    <row r="49" spans="1:31" hidden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</row>
  </sheetData>
  <mergeCells count="194">
    <mergeCell ref="A1:D1"/>
    <mergeCell ref="E1:AE2"/>
    <mergeCell ref="AF1:AI1"/>
    <mergeCell ref="A2:D2"/>
    <mergeCell ref="AF2:AI2"/>
    <mergeCell ref="E4:F4"/>
    <mergeCell ref="G4:N4"/>
    <mergeCell ref="O4:AI4"/>
    <mergeCell ref="O5:P5"/>
    <mergeCell ref="Q5:S5"/>
    <mergeCell ref="T5:W5"/>
    <mergeCell ref="AE5:AG5"/>
    <mergeCell ref="AH5:AI5"/>
    <mergeCell ref="C6:D6"/>
    <mergeCell ref="G6:H6"/>
    <mergeCell ref="I6:J6"/>
    <mergeCell ref="K6:L6"/>
    <mergeCell ref="M6:N6"/>
    <mergeCell ref="C5:D5"/>
    <mergeCell ref="E5:F6"/>
    <mergeCell ref="G5:H5"/>
    <mergeCell ref="I5:J5"/>
    <mergeCell ref="K5:L5"/>
    <mergeCell ref="M5:N5"/>
    <mergeCell ref="O6:P6"/>
    <mergeCell ref="Q6:S6"/>
    <mergeCell ref="AE6:AG6"/>
    <mergeCell ref="AH6:AI6"/>
    <mergeCell ref="A8:E8"/>
    <mergeCell ref="G8:H8"/>
    <mergeCell ref="K8:L8"/>
    <mergeCell ref="M8:N8"/>
    <mergeCell ref="O8:P8"/>
    <mergeCell ref="R8:S8"/>
    <mergeCell ref="AF9:AF10"/>
    <mergeCell ref="AG9:AI9"/>
    <mergeCell ref="C10:D10"/>
    <mergeCell ref="F10:G10"/>
    <mergeCell ref="J10:K10"/>
    <mergeCell ref="AH10:AI10"/>
    <mergeCell ref="AF8:AG8"/>
    <mergeCell ref="AH8:AI8"/>
    <mergeCell ref="A9:A10"/>
    <mergeCell ref="B9:L9"/>
    <mergeCell ref="M9:P9"/>
    <mergeCell ref="R9:T9"/>
    <mergeCell ref="U9:V9"/>
    <mergeCell ref="W9:Y9"/>
    <mergeCell ref="AA9:AC9"/>
    <mergeCell ref="AD9:AE10"/>
    <mergeCell ref="T8:U8"/>
    <mergeCell ref="V8:W8"/>
    <mergeCell ref="X8:Y8"/>
    <mergeCell ref="Z8:AA8"/>
    <mergeCell ref="AB8:AC8"/>
    <mergeCell ref="AD8:AE8"/>
    <mergeCell ref="C11:D11"/>
    <mergeCell ref="F11:G11"/>
    <mergeCell ref="J11:K11"/>
    <mergeCell ref="AD11:AE11"/>
    <mergeCell ref="AH11:AI11"/>
    <mergeCell ref="C12:D12"/>
    <mergeCell ref="F12:G12"/>
    <mergeCell ref="J12:K12"/>
    <mergeCell ref="AD12:AE12"/>
    <mergeCell ref="AH12:AI12"/>
    <mergeCell ref="C13:D13"/>
    <mergeCell ref="F13:G13"/>
    <mergeCell ref="J13:K13"/>
    <mergeCell ref="AD13:AE13"/>
    <mergeCell ref="AH13:AI13"/>
    <mergeCell ref="C14:D14"/>
    <mergeCell ref="F14:G14"/>
    <mergeCell ref="J14:K14"/>
    <mergeCell ref="AD14:AE14"/>
    <mergeCell ref="AH14:AI14"/>
    <mergeCell ref="C15:D15"/>
    <mergeCell ref="F15:G15"/>
    <mergeCell ref="J15:K15"/>
    <mergeCell ref="AD15:AE15"/>
    <mergeCell ref="AH15:AI15"/>
    <mergeCell ref="C16:D16"/>
    <mergeCell ref="F16:G16"/>
    <mergeCell ref="J16:K16"/>
    <mergeCell ref="AD16:AE16"/>
    <mergeCell ref="AH16:AI16"/>
    <mergeCell ref="C17:D17"/>
    <mergeCell ref="F17:G17"/>
    <mergeCell ref="J17:K17"/>
    <mergeCell ref="AD17:AE17"/>
    <mergeCell ref="AH17:AI17"/>
    <mergeCell ref="C18:D18"/>
    <mergeCell ref="F18:G18"/>
    <mergeCell ref="J18:K18"/>
    <mergeCell ref="AD18:AE18"/>
    <mergeCell ref="AH18:AI18"/>
    <mergeCell ref="C19:D19"/>
    <mergeCell ref="F19:G19"/>
    <mergeCell ref="J19:K19"/>
    <mergeCell ref="AD19:AE19"/>
    <mergeCell ref="AH19:AI19"/>
    <mergeCell ref="C20:D20"/>
    <mergeCell ref="F20:G20"/>
    <mergeCell ref="J20:K20"/>
    <mergeCell ref="AD20:AE20"/>
    <mergeCell ref="AH20:AI20"/>
    <mergeCell ref="C21:D21"/>
    <mergeCell ref="F21:G21"/>
    <mergeCell ref="J21:K21"/>
    <mergeCell ref="AD21:AE21"/>
    <mergeCell ref="AH21:AI21"/>
    <mergeCell ref="C22:D22"/>
    <mergeCell ref="F22:G22"/>
    <mergeCell ref="J22:K22"/>
    <mergeCell ref="AD22:AE22"/>
    <mergeCell ref="AH22:AI22"/>
    <mergeCell ref="AH25:AI25"/>
    <mergeCell ref="C26:D26"/>
    <mergeCell ref="F26:G26"/>
    <mergeCell ref="J26:K26"/>
    <mergeCell ref="AD26:AE26"/>
    <mergeCell ref="AH26:AI26"/>
    <mergeCell ref="C23:D23"/>
    <mergeCell ref="F23:G23"/>
    <mergeCell ref="J23:K23"/>
    <mergeCell ref="AD23:AE23"/>
    <mergeCell ref="AH23:AI23"/>
    <mergeCell ref="C24:D24"/>
    <mergeCell ref="F24:G24"/>
    <mergeCell ref="J24:K24"/>
    <mergeCell ref="AD24:AE24"/>
    <mergeCell ref="AH24:AI24"/>
    <mergeCell ref="C27:D27"/>
    <mergeCell ref="F27:G27"/>
    <mergeCell ref="J27:K27"/>
    <mergeCell ref="AD27:AE27"/>
    <mergeCell ref="C28:D28"/>
    <mergeCell ref="F28:G28"/>
    <mergeCell ref="J28:K28"/>
    <mergeCell ref="AD28:AE28"/>
    <mergeCell ref="C25:D25"/>
    <mergeCell ref="F25:G25"/>
    <mergeCell ref="J25:K25"/>
    <mergeCell ref="AD25:AE25"/>
    <mergeCell ref="C29:D29"/>
    <mergeCell ref="F29:G29"/>
    <mergeCell ref="J29:K29"/>
    <mergeCell ref="AD29:AE29"/>
    <mergeCell ref="AH29:AI29"/>
    <mergeCell ref="C30:D30"/>
    <mergeCell ref="F30:G30"/>
    <mergeCell ref="J30:K30"/>
    <mergeCell ref="AD30:AE30"/>
    <mergeCell ref="AH30:AI30"/>
    <mergeCell ref="A32:H35"/>
    <mergeCell ref="I32:O35"/>
    <mergeCell ref="P32:Q33"/>
    <mergeCell ref="R32:V32"/>
    <mergeCell ref="W32:X33"/>
    <mergeCell ref="Y32:AC32"/>
    <mergeCell ref="P34:Q34"/>
    <mergeCell ref="R34:S34"/>
    <mergeCell ref="U34:V34"/>
    <mergeCell ref="AB34:AC34"/>
    <mergeCell ref="AD34:AG35"/>
    <mergeCell ref="AH34:AI35"/>
    <mergeCell ref="P35:Q35"/>
    <mergeCell ref="R35:S35"/>
    <mergeCell ref="U35:V35"/>
    <mergeCell ref="AB35:AC35"/>
    <mergeCell ref="AD32:AG33"/>
    <mergeCell ref="AH32:AI33"/>
    <mergeCell ref="R33:S33"/>
    <mergeCell ref="U33:V33"/>
    <mergeCell ref="Y33:AA33"/>
    <mergeCell ref="AB33:AC33"/>
    <mergeCell ref="AI45:AI46"/>
    <mergeCell ref="D46:E46"/>
    <mergeCell ref="F46:H46"/>
    <mergeCell ref="I46:J46"/>
    <mergeCell ref="L46:M46"/>
    <mergeCell ref="X46:AA46"/>
    <mergeCell ref="AB46:AD46"/>
    <mergeCell ref="AE46:AG46"/>
    <mergeCell ref="U42:W42"/>
    <mergeCell ref="U43:W43"/>
    <mergeCell ref="U44:W46"/>
    <mergeCell ref="X44:AA44"/>
    <mergeCell ref="AE44:AG44"/>
    <mergeCell ref="AH44:AI44"/>
    <mergeCell ref="X45:AA45"/>
    <mergeCell ref="AB45:AD45"/>
    <mergeCell ref="AE45:AG45"/>
    <mergeCell ref="AH45:AH46"/>
  </mergeCells>
  <pageMargins left="0.38" right="0.17" top="0.28000000000000003" bottom="0.15748031496063" header="0.15748031496063" footer="0.15748031496063"/>
  <pageSetup paperSize="9" scale="57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CreateQRCode">
                <anchor moveWithCells="1" sizeWithCells="1">
                  <from>
                    <xdr:col>4</xdr:col>
                    <xdr:colOff>133350</xdr:colOff>
                    <xdr:row>0</xdr:row>
                    <xdr:rowOff>95250</xdr:rowOff>
                  </from>
                  <to>
                    <xdr:col>7</xdr:col>
                    <xdr:colOff>361950</xdr:colOff>
                    <xdr:row>1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eng64</dc:creator>
  <cp:lastModifiedBy>eng64</cp:lastModifiedBy>
  <dcterms:created xsi:type="dcterms:W3CDTF">2026-06-19T07:35:08Z</dcterms:created>
  <dcterms:modified xsi:type="dcterms:W3CDTF">2026-06-19T07:38:25Z</dcterms:modified>
</cp:coreProperties>
</file>